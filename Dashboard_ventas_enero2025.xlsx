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atiz\Downloads\Proyecto_SEO_Final\"/>
    </mc:Choice>
  </mc:AlternateContent>
  <xr:revisionPtr revIDLastSave="0" documentId="8_{7C38E1E5-323C-42BF-939B-E06A978E8298}" xr6:coauthVersionLast="47" xr6:coauthVersionMax="47" xr10:uidLastSave="{00000000-0000-0000-0000-000000000000}"/>
  <bookViews>
    <workbookView xWindow="-120" yWindow="-120" windowWidth="20640" windowHeight="11160" activeTab="1" xr2:uid="{2A89BE19-1018-48BE-92D5-54A54393D0AC}"/>
  </bookViews>
  <sheets>
    <sheet name="Dashboard (2)" sheetId="5" r:id="rId1"/>
    <sheet name="ventas_dataset_nuevo" sheetId="1" r:id="rId2"/>
    <sheet name="KPIs" sheetId="2" r:id="rId3"/>
    <sheet name="TD_Ventas" sheetId="3" r:id="rId4"/>
    <sheet name="Dashboard" sheetId="4" r:id="rId5"/>
  </sheets>
  <definedNames>
    <definedName name="NativeTimeline_fecha">#N/A</definedName>
    <definedName name="SegmentaciónDeDatos_categoria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B5" i="2"/>
  <c r="B6" i="4" s="1"/>
  <c r="B17" i="4" s="1"/>
  <c r="B4" i="2"/>
  <c r="B5" i="4" s="1"/>
  <c r="B15" i="4" s="1"/>
  <c r="B8" i="2"/>
  <c r="B9" i="4" s="1"/>
  <c r="B22" i="4" s="1"/>
  <c r="B7" i="2"/>
  <c r="B8" i="4" s="1"/>
  <c r="B20" i="4" s="1"/>
  <c r="B3" i="2"/>
  <c r="B6" i="2" s="1"/>
  <c r="B7" i="4" s="1"/>
  <c r="B19" i="4" s="1"/>
  <c r="D5" i="5" l="1"/>
  <c r="D13" i="5" s="1"/>
  <c r="D8" i="5"/>
  <c r="D9" i="5"/>
  <c r="D14" i="5" s="1"/>
  <c r="D4" i="5"/>
  <c r="D12" i="5" s="1"/>
  <c r="D7" i="5"/>
  <c r="B4" i="4"/>
  <c r="B13" i="4" s="1"/>
  <c r="D6" i="5"/>
</calcChain>
</file>

<file path=xl/sharedStrings.xml><?xml version="1.0" encoding="utf-8"?>
<sst xmlns="http://schemas.openxmlformats.org/spreadsheetml/2006/main" count="116" uniqueCount="46">
  <si>
    <t>Computo</t>
  </si>
  <si>
    <t>Laptop Gamer</t>
  </si>
  <si>
    <t>A</t>
  </si>
  <si>
    <t>B</t>
  </si>
  <si>
    <t>KPI</t>
  </si>
  <si>
    <t>Ventas Totales</t>
  </si>
  <si>
    <t>Ventas por Categoría</t>
  </si>
  <si>
    <t>Producto Más Vendido</t>
  </si>
  <si>
    <t>Ticket Promedio</t>
  </si>
  <si>
    <t>Inventario Total</t>
  </si>
  <si>
    <t>Inventario Crítico (&lt;20)</t>
  </si>
  <si>
    <t>Fecha desde</t>
  </si>
  <si>
    <t>Fecha hasta</t>
  </si>
  <si>
    <t>Etiquetas de fila</t>
  </si>
  <si>
    <t>Total general</t>
  </si>
  <si>
    <t>Suma de ventas_totales</t>
  </si>
  <si>
    <t>Dashboard de Ventas – Enero 2025</t>
  </si>
  <si>
    <t>Categoría líder</t>
  </si>
  <si>
    <t>Mini resumen – Ene 2025</t>
  </si>
  <si>
    <t>Producto más vendido</t>
  </si>
  <si>
    <t>Insights y acciones – Enero    2025</t>
  </si>
  <si>
    <t>Ventas totales</t>
  </si>
  <si>
    <t>SKUs críticos (&lt;20)</t>
  </si>
  <si>
    <t>*Cómputo lidera ventas  stock + bundles.</t>
  </si>
  <si>
    <t>*Audífonos BT top  cross-sell laptops.</t>
  </si>
  <si>
    <t>*23 SKUs crítico  reposición urgente.</t>
  </si>
  <si>
    <t>Electrónica.</t>
  </si>
  <si>
    <t>Categoría</t>
  </si>
  <si>
    <t>Gaming Mouse</t>
  </si>
  <si>
    <t>Mechanical Keyboard</t>
  </si>
  <si>
    <t>Bluetooth Headphones</t>
  </si>
  <si>
    <t>Basic Laptop</t>
  </si>
  <si>
    <t>24" Monitor</t>
  </si>
  <si>
    <t>10" Tablet</t>
  </si>
  <si>
    <t>date</t>
  </si>
  <si>
    <t>product</t>
  </si>
  <si>
    <t>Electronics</t>
  </si>
  <si>
    <t>Computing</t>
  </si>
  <si>
    <t>category</t>
  </si>
  <si>
    <t>price</t>
  </si>
  <si>
    <t>quantity</t>
  </si>
  <si>
    <t>inventory</t>
  </si>
  <si>
    <t>total revenue</t>
  </si>
  <si>
    <t>revenue</t>
  </si>
  <si>
    <t>profit</t>
  </si>
  <si>
    <t>margin_pct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</si>
</sst>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26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vertical="center" wrapText="1"/>
    </xf>
    <xf numFmtId="0" fontId="20" fillId="0" borderId="0" xfId="0" applyFont="1"/>
    <xf numFmtId="0" fontId="21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readingOrder="1"/>
    </xf>
    <xf numFmtId="0" fontId="22" fillId="0" borderId="0" xfId="0" applyFont="1" applyAlignment="1">
      <alignment horizontal="left" vertical="center" readingOrder="1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164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 vertical="center" readingOrder="1"/>
    </xf>
    <xf numFmtId="0" fontId="27" fillId="0" borderId="0" xfId="0" applyFont="1" applyAlignment="1">
      <alignment horizontal="left" vertical="center" readingOrder="1"/>
    </xf>
    <xf numFmtId="0" fontId="25" fillId="0" borderId="0" xfId="0" applyFont="1" applyAlignment="1">
      <alignment vertical="center" wrapText="1"/>
    </xf>
    <xf numFmtId="1" fontId="0" fillId="0" borderId="0" xfId="0" applyNumberFormat="1"/>
    <xf numFmtId="0" fontId="2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[Dashboard_ventas_enero2025.xlsx]TD_Ventas!TablaDinámica5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Ventas diarias – Enero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strRef>
              <c:f>TD_Ventas!$B$30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TD_Ventas!$A$31:$A$46</c:f>
              <c:strCache>
                <c:ptCount val="15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  <c:pt idx="12">
                  <c:v>13/01/2025</c:v>
                </c:pt>
                <c:pt idx="13">
                  <c:v>14/01/2025</c:v>
                </c:pt>
                <c:pt idx="14">
                  <c:v>15/01/2025</c:v>
                </c:pt>
              </c:strCache>
            </c:strRef>
          </c:cat>
          <c:val>
            <c:numRef>
              <c:f>TD_Ventas!$B$31:$B$46</c:f>
              <c:numCache>
                <c:formatCode>General</c:formatCode>
                <c:ptCount val="15"/>
                <c:pt idx="0">
                  <c:v>107.97</c:v>
                </c:pt>
                <c:pt idx="1">
                  <c:v>619.96</c:v>
                </c:pt>
                <c:pt idx="2">
                  <c:v>1525.98</c:v>
                </c:pt>
                <c:pt idx="3">
                  <c:v>241.97000000000003</c:v>
                </c:pt>
                <c:pt idx="4">
                  <c:v>439.97</c:v>
                </c:pt>
                <c:pt idx="5">
                  <c:v>577.96</c:v>
                </c:pt>
                <c:pt idx="6">
                  <c:v>1555.98</c:v>
                </c:pt>
                <c:pt idx="7">
                  <c:v>419.94000000000005</c:v>
                </c:pt>
                <c:pt idx="8">
                  <c:v>551.97</c:v>
                </c:pt>
                <c:pt idx="9">
                  <c:v>1611.97</c:v>
                </c:pt>
                <c:pt idx="10">
                  <c:v>329.98</c:v>
                </c:pt>
                <c:pt idx="11">
                  <c:v>579.97</c:v>
                </c:pt>
                <c:pt idx="12">
                  <c:v>107.97</c:v>
                </c:pt>
                <c:pt idx="13">
                  <c:v>1603.95</c:v>
                </c:pt>
                <c:pt idx="14">
                  <c:v>679.95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3-4533-9CBB-556E3F3F5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tickLblSkip val="2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[Dashboard_ventas_enero2025.xlsx]TD_Ventas!TablaDinámica1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categoría – Enero 2025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283302740930570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31626321160746"/>
          <c:y val="0.16245392258590685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TD_Ventas!$B$1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TD_Ventas!$A$2:$A$4</c:f>
              <c:strCache>
                <c:ptCount val="2"/>
                <c:pt idx="0">
                  <c:v>Computo</c:v>
                </c:pt>
                <c:pt idx="1">
                  <c:v>Electrónica.</c:v>
                </c:pt>
              </c:strCache>
            </c:strRef>
          </c:cat>
          <c:val>
            <c:numRef>
              <c:f>TD_Ventas!$B$2:$B$4</c:f>
              <c:numCache>
                <c:formatCode>General</c:formatCode>
                <c:ptCount val="2"/>
                <c:pt idx="0">
                  <c:v>9719.8199999999979</c:v>
                </c:pt>
                <c:pt idx="1">
                  <c:v>1235.67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2-44DC-9F7E-EA66668C88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5327"/>
        <c:crossesAt val="0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alpha val="86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[Dashboard_ventas_enero2025.xlsx]TD_Ventas!TablaDinámica5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diarias – Enero 2025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strRef>
              <c:f>TD_Ventas!$B$30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TD_Ventas!$A$31:$A$46</c:f>
              <c:strCache>
                <c:ptCount val="15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  <c:pt idx="12">
                  <c:v>13/01/2025</c:v>
                </c:pt>
                <c:pt idx="13">
                  <c:v>14/01/2025</c:v>
                </c:pt>
                <c:pt idx="14">
                  <c:v>15/01/2025</c:v>
                </c:pt>
              </c:strCache>
            </c:strRef>
          </c:cat>
          <c:val>
            <c:numRef>
              <c:f>TD_Ventas!$B$31:$B$46</c:f>
              <c:numCache>
                <c:formatCode>General</c:formatCode>
                <c:ptCount val="15"/>
                <c:pt idx="0">
                  <c:v>107.97</c:v>
                </c:pt>
                <c:pt idx="1">
                  <c:v>619.96</c:v>
                </c:pt>
                <c:pt idx="2">
                  <c:v>1525.98</c:v>
                </c:pt>
                <c:pt idx="3">
                  <c:v>241.97000000000003</c:v>
                </c:pt>
                <c:pt idx="4">
                  <c:v>439.97</c:v>
                </c:pt>
                <c:pt idx="5">
                  <c:v>577.96</c:v>
                </c:pt>
                <c:pt idx="6">
                  <c:v>1555.98</c:v>
                </c:pt>
                <c:pt idx="7">
                  <c:v>419.94000000000005</c:v>
                </c:pt>
                <c:pt idx="8">
                  <c:v>551.97</c:v>
                </c:pt>
                <c:pt idx="9">
                  <c:v>1611.97</c:v>
                </c:pt>
                <c:pt idx="10">
                  <c:v>329.98</c:v>
                </c:pt>
                <c:pt idx="11">
                  <c:v>579.97</c:v>
                </c:pt>
                <c:pt idx="12">
                  <c:v>107.97</c:v>
                </c:pt>
                <c:pt idx="13">
                  <c:v>1603.95</c:v>
                </c:pt>
                <c:pt idx="14">
                  <c:v>679.95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8-4DAC-A0B5-638CE2F08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[Dashboard_ventas_enero2025.xlsx]TD_Ventas!TablaDinámica1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categoría – Enero 2025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4759405074367"/>
          <c:y val="0.16245370370370371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TD_Ventas!$B$1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TD_Ventas!$A$2:$A$4</c:f>
              <c:strCache>
                <c:ptCount val="2"/>
                <c:pt idx="0">
                  <c:v>Computo</c:v>
                </c:pt>
                <c:pt idx="1">
                  <c:v>Electrónica.</c:v>
                </c:pt>
              </c:strCache>
            </c:strRef>
          </c:cat>
          <c:val>
            <c:numRef>
              <c:f>TD_Ventas!$B$2:$B$4</c:f>
              <c:numCache>
                <c:formatCode>General</c:formatCode>
                <c:ptCount val="2"/>
                <c:pt idx="0">
                  <c:v>9719.8199999999979</c:v>
                </c:pt>
                <c:pt idx="1">
                  <c:v>1235.67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D-4E11-97C5-FD28BA8C7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6615327"/>
        <c:crosses val="autoZero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[Dashboard_ventas_enero2025.xlsx]TD_Ventas!TablaDinámica5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Ventas diarias – Enero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strRef>
              <c:f>TD_Ventas!$B$30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TD_Ventas!$A$31:$A$46</c:f>
              <c:strCache>
                <c:ptCount val="15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  <c:pt idx="12">
                  <c:v>13/01/2025</c:v>
                </c:pt>
                <c:pt idx="13">
                  <c:v>14/01/2025</c:v>
                </c:pt>
                <c:pt idx="14">
                  <c:v>15/01/2025</c:v>
                </c:pt>
              </c:strCache>
            </c:strRef>
          </c:cat>
          <c:val>
            <c:numRef>
              <c:f>TD_Ventas!$B$31:$B$46</c:f>
              <c:numCache>
                <c:formatCode>General</c:formatCode>
                <c:ptCount val="15"/>
                <c:pt idx="0">
                  <c:v>107.97</c:v>
                </c:pt>
                <c:pt idx="1">
                  <c:v>619.96</c:v>
                </c:pt>
                <c:pt idx="2">
                  <c:v>1525.98</c:v>
                </c:pt>
                <c:pt idx="3">
                  <c:v>241.97000000000003</c:v>
                </c:pt>
                <c:pt idx="4">
                  <c:v>439.97</c:v>
                </c:pt>
                <c:pt idx="5">
                  <c:v>577.96</c:v>
                </c:pt>
                <c:pt idx="6">
                  <c:v>1555.98</c:v>
                </c:pt>
                <c:pt idx="7">
                  <c:v>419.94000000000005</c:v>
                </c:pt>
                <c:pt idx="8">
                  <c:v>551.97</c:v>
                </c:pt>
                <c:pt idx="9">
                  <c:v>1611.97</c:v>
                </c:pt>
                <c:pt idx="10">
                  <c:v>329.98</c:v>
                </c:pt>
                <c:pt idx="11">
                  <c:v>579.97</c:v>
                </c:pt>
                <c:pt idx="12">
                  <c:v>107.97</c:v>
                </c:pt>
                <c:pt idx="13">
                  <c:v>1603.95</c:v>
                </c:pt>
                <c:pt idx="14">
                  <c:v>679.95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F-4D43-9CCD-3104D2355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tickLblSkip val="2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[Dashboard_ventas_enero2025.xlsx]TD_Ventas!TablaDinámica1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categoría – Enero 2025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4759405074367"/>
          <c:y val="0.16245370370370371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TD_Ventas!$B$1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TD_Ventas!$A$2:$A$4</c:f>
              <c:strCache>
                <c:ptCount val="2"/>
                <c:pt idx="0">
                  <c:v>Computo</c:v>
                </c:pt>
                <c:pt idx="1">
                  <c:v>Electrónica.</c:v>
                </c:pt>
              </c:strCache>
            </c:strRef>
          </c:cat>
          <c:val>
            <c:numRef>
              <c:f>TD_Ventas!$B$2:$B$4</c:f>
              <c:numCache>
                <c:formatCode>General</c:formatCode>
                <c:ptCount val="2"/>
                <c:pt idx="0">
                  <c:v>9719.8199999999979</c:v>
                </c:pt>
                <c:pt idx="1">
                  <c:v>1235.67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4DE-B96E-72D59D5BF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5327"/>
        <c:crossesAt val="0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alpha val="86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732649</xdr:colOff>
      <xdr:row>3</xdr:row>
      <xdr:rowOff>35278</xdr:rowOff>
    </xdr:from>
    <xdr:to>
      <xdr:col>13</xdr:col>
      <xdr:colOff>740834</xdr:colOff>
      <xdr:row>20</xdr:row>
      <xdr:rowOff>176388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758EFB-A4A6-4F35-BC01-3D4924B00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724385</xdr:colOff>
      <xdr:row>27</xdr:row>
      <xdr:rowOff>1270</xdr:rowOff>
    </xdr:from>
    <xdr:to>
      <xdr:col>14</xdr:col>
      <xdr:colOff>17639</xdr:colOff>
      <xdr:row>45</xdr:row>
      <xdr:rowOff>17640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AE567A-5674-49C5-9044-BDDE66BD3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0</xdr:colOff>
      <xdr:row>1</xdr:row>
      <xdr:rowOff>57150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9EADCE6-A581-4017-9D50-F6CDF20A8E93}"/>
            </a:ext>
          </a:extLst>
        </xdr:cNvPr>
        <xdr:cNvSpPr txBox="1"/>
      </xdr:nvSpPr>
      <xdr:spPr>
        <a:xfrm>
          <a:off x="8543925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15</xdr:col>
      <xdr:colOff>269692</xdr:colOff>
      <xdr:row>4</xdr:row>
      <xdr:rowOff>27609</xdr:rowOff>
    </xdr:from>
    <xdr:to>
      <xdr:col>18</xdr:col>
      <xdr:colOff>17639</xdr:colOff>
      <xdr:row>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ía">
              <a:extLst>
                <a:ext uri="{FF2B5EF4-FFF2-40B4-BE49-F238E27FC236}">
                  <a16:creationId xmlns:a16="http://schemas.microsoft.com/office/drawing/2014/main" id="{5F49784A-DB5F-139C-E93E-97A41DDBE5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6192" y="1234109"/>
              <a:ext cx="2033947" cy="6962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225195</xdr:colOff>
      <xdr:row>7</xdr:row>
      <xdr:rowOff>216038</xdr:rowOff>
    </xdr:from>
    <xdr:to>
      <xdr:col>19</xdr:col>
      <xdr:colOff>312989</xdr:colOff>
      <xdr:row>18</xdr:row>
      <xdr:rowOff>133014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fecha">
              <a:extLst>
                <a:ext uri="{FF2B5EF4-FFF2-40B4-BE49-F238E27FC236}">
                  <a16:creationId xmlns:a16="http://schemas.microsoft.com/office/drawing/2014/main" id="{DD86CB97-769C-C1DB-32DA-D9F9E7A71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9695" y="2108338"/>
              <a:ext cx="3897794" cy="2660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13137</xdr:colOff>
      <xdr:row>4</xdr:row>
      <xdr:rowOff>2407</xdr:rowOff>
    </xdr:from>
    <xdr:to>
      <xdr:col>8</xdr:col>
      <xdr:colOff>667845</xdr:colOff>
      <xdr:row>22</xdr:row>
      <xdr:rowOff>10948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AAFE7C-00B3-3988-5AE8-F9CE77C75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98535</xdr:colOff>
      <xdr:row>3</xdr:row>
      <xdr:rowOff>177580</xdr:rowOff>
    </xdr:from>
    <xdr:to>
      <xdr:col>15</xdr:col>
      <xdr:colOff>470776</xdr:colOff>
      <xdr:row>21</xdr:row>
      <xdr:rowOff>186120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3ABE25-92E7-E262-0AEA-C1E0595D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180348</xdr:colOff>
      <xdr:row>4</xdr:row>
      <xdr:rowOff>76861</xdr:rowOff>
    </xdr:from>
    <xdr:to>
      <xdr:col>8</xdr:col>
      <xdr:colOff>495928</xdr:colOff>
      <xdr:row>8</xdr:row>
      <xdr:rowOff>475589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5051CBB-D76D-4CB2-8D8C-12EE232A4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163347</xdr:colOff>
      <xdr:row>10</xdr:row>
      <xdr:rowOff>9525</xdr:rowOff>
    </xdr:from>
    <xdr:to>
      <xdr:col>8</xdr:col>
      <xdr:colOff>485775</xdr:colOff>
      <xdr:row>20</xdr:row>
      <xdr:rowOff>112930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34884F6-5B73-474D-920A-D65C8ABC8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0</xdr:colOff>
      <xdr:row>1</xdr:row>
      <xdr:rowOff>57150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74A1959-814D-95B8-8AE5-7789623CCFF9}"/>
            </a:ext>
          </a:extLst>
        </xdr:cNvPr>
        <xdr:cNvSpPr txBox="1"/>
      </xdr:nvSpPr>
      <xdr:spPr>
        <a:xfrm>
          <a:off x="10487025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9</xdr:row>
      <xdr:rowOff>161925</xdr:rowOff>
    </xdr:from>
    <xdr:ext cx="2057758" cy="2941831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52EAECE-6B3C-634D-5F6F-BD5C3A855DE3}"/>
            </a:ext>
          </a:extLst>
        </xdr:cNvPr>
        <xdr:cNvSpPr txBox="1"/>
      </xdr:nvSpPr>
      <xdr:spPr>
        <a:xfrm>
          <a:off x="0" y="3262043"/>
          <a:ext cx="2057758" cy="29418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 b="1"/>
            <a:t>Mini resumen – Ene 2025</a:t>
          </a:r>
        </a:p>
        <a:p>
          <a:endParaRPr lang="es-MX" sz="1400" b="1"/>
        </a:p>
        <a:p>
          <a:pPr>
            <a:buFontTx/>
            <a:buNone/>
          </a:pPr>
          <a:r>
            <a:rPr lang="es-MX"/>
            <a:t>Ventas totales: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Categoría líder: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Producto más vendido: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Ticket promedio: 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Inventario Total: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SKUs en inventario crítico  (&lt;20): 23</a:t>
          </a:r>
        </a:p>
        <a:p>
          <a:endParaRPr lang="es-MX"/>
        </a:p>
        <a:p>
          <a:endParaRPr lang="es-MX" sz="1100"/>
        </a:p>
      </xdr:txBody>
    </xdr:sp>
    <xdr:clientData/>
  </xdr:oneCellAnchor>
  <xdr:twoCellAnchor>
    <xdr:from>
      <xdr:col>0</xdr:col>
      <xdr:colOff>8985</xdr:colOff>
      <xdr:row>23</xdr:row>
      <xdr:rowOff>152760</xdr:rowOff>
    </xdr:from>
    <xdr:to>
      <xdr:col>1</xdr:col>
      <xdr:colOff>664952</xdr:colOff>
      <xdr:row>35</xdr:row>
      <xdr:rowOff>62901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33ED6CE1-6EC3-2ABE-6A6E-6F455F592355}"/>
            </a:ext>
          </a:extLst>
        </xdr:cNvPr>
        <xdr:cNvSpPr txBox="1">
          <a:spLocks noChangeArrowheads="1"/>
        </xdr:cNvSpPr>
      </xdr:nvSpPr>
      <xdr:spPr bwMode="auto">
        <a:xfrm>
          <a:off x="8985" y="6272123"/>
          <a:ext cx="2650825" cy="2174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MX" sz="1400" b="1" i="0" u="none" strike="noStrike" baseline="0">
              <a:solidFill>
                <a:srgbClr val="000000"/>
              </a:solidFill>
              <a:latin typeface="Aptos Narrow"/>
            </a:rPr>
            <a:t> Insights y acciones – Enero    2025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Cómputo lidera ventas → stock + bundles.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Audífonos BT top → cross-sell laptops.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23 SKUs críticos → reposición urgente.</a:t>
          </a:r>
          <a:endParaRPr lang="es-MX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iz" refreshedDate="46001.608994675924" missingItemsLimit="0" createdVersion="8" refreshedVersion="8" minRefreshableVersion="3" recordCount="30" xr:uid="{9498A2D8-9848-4799-BF4B-D49411FDB930}">
  <cacheSource type="worksheet">
    <worksheetSource name="tbl_ventas"/>
  </cacheSource>
  <cacheFields count="7">
    <cacheField name="fecha" numFmtId="14">
      <sharedItems containsSemiMixedTypes="0" containsNonDate="0" containsDate="1" containsString="0" minDate="2025-01-01T00:00:00" maxDate="2025-01-16T00:00:00" count="1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</sharedItems>
    </cacheField>
    <cacheField name="producto" numFmtId="0">
      <sharedItems/>
    </cacheField>
    <cacheField name="categoria" numFmtId="0">
      <sharedItems count="2">
        <s v="Electrónica."/>
        <s v="Computo"/>
      </sharedItems>
    </cacheField>
    <cacheField name="precio" numFmtId="0">
      <sharedItems containsSemiMixedTypes="0" containsString="0" containsNumber="1" minValue="25.99" maxValue="1499.99"/>
    </cacheField>
    <cacheField name="cantidad" numFmtId="0">
      <sharedItems containsSemiMixedTypes="0" containsString="0" containsNumber="1" containsInteger="1" minValue="1" maxValue="4"/>
    </cacheField>
    <cacheField name="ventas_totales" numFmtId="0">
      <sharedItems containsSemiMixedTypes="0" containsString="0" containsNumber="1" minValue="25.99" maxValue="1499.99"/>
    </cacheField>
    <cacheField name="inventario" numFmtId="0">
      <sharedItems containsSemiMixedTypes="0" containsString="0" containsNumber="1" containsInteger="1" minValue="0" maxValue="34"/>
    </cacheField>
  </cacheFields>
  <extLst>
    <ext xmlns:x14="http://schemas.microsoft.com/office/spreadsheetml/2009/9/main" uri="{725AE2AE-9491-48be-B2B4-4EB974FC3084}">
      <x14:pivotCacheDefinition pivotCacheId="11415172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Mouse Gamer"/>
    <x v="0"/>
    <n v="25.99"/>
    <n v="2"/>
    <n v="51.98"/>
    <n v="34"/>
  </r>
  <r>
    <x v="0"/>
    <s v="Teclado MecÃ¡nico"/>
    <x v="0"/>
    <n v="55.99"/>
    <n v="1"/>
    <n v="55.99"/>
    <n v="12"/>
  </r>
  <r>
    <x v="1"/>
    <s v="AudÃ­fonos Bluetooth"/>
    <x v="0"/>
    <n v="39.99"/>
    <n v="3"/>
    <n v="119.97"/>
    <n v="20"/>
  </r>
  <r>
    <x v="1"/>
    <s v="Laptop BÃ¡sica"/>
    <x v="1"/>
    <n v="499.99"/>
    <n v="1"/>
    <n v="499.99"/>
    <n v="5"/>
  </r>
  <r>
    <x v="2"/>
    <s v="Laptop Gamer"/>
    <x v="1"/>
    <n v="1499.99"/>
    <n v="1"/>
    <n v="1499.99"/>
    <n v="2"/>
  </r>
  <r>
    <x v="2"/>
    <s v="Mouse Gamer"/>
    <x v="0"/>
    <n v="25.99"/>
    <n v="1"/>
    <n v="25.99"/>
    <n v="33"/>
  </r>
  <r>
    <x v="3"/>
    <s v="Teclado MecÃ¡nico"/>
    <x v="0"/>
    <n v="55.99"/>
    <n v="2"/>
    <n v="111.98"/>
    <n v="10"/>
  </r>
  <r>
    <x v="3"/>
    <s v="Monitor 24&quot;"/>
    <x v="1"/>
    <n v="129.99"/>
    <n v="1"/>
    <n v="129.99"/>
    <n v="8"/>
  </r>
  <r>
    <x v="4"/>
    <s v="Tablet 10&quot;"/>
    <x v="1"/>
    <n v="199.99"/>
    <n v="2"/>
    <n v="399.98"/>
    <n v="15"/>
  </r>
  <r>
    <x v="4"/>
    <s v="AudÃ­fonos Bluetooth"/>
    <x v="0"/>
    <n v="39.99"/>
    <n v="1"/>
    <n v="39.99"/>
    <n v="19"/>
  </r>
  <r>
    <x v="5"/>
    <s v="Laptop BÃ¡sica"/>
    <x v="1"/>
    <n v="499.99"/>
    <n v="1"/>
    <n v="499.99"/>
    <n v="4"/>
  </r>
  <r>
    <x v="5"/>
    <s v="Mouse Gamer"/>
    <x v="0"/>
    <n v="25.99"/>
    <n v="3"/>
    <n v="77.97"/>
    <n v="30"/>
  </r>
  <r>
    <x v="6"/>
    <s v="Teclado MecÃ¡nico"/>
    <x v="0"/>
    <n v="55.99"/>
    <n v="1"/>
    <n v="55.99"/>
    <n v="9"/>
  </r>
  <r>
    <x v="6"/>
    <s v="Laptop Gamer"/>
    <x v="1"/>
    <n v="1499.99"/>
    <n v="1"/>
    <n v="1499.99"/>
    <n v="1"/>
  </r>
  <r>
    <x v="7"/>
    <s v="Monitor 24&quot;"/>
    <x v="1"/>
    <n v="129.99"/>
    <n v="2"/>
    <n v="259.98"/>
    <n v="6"/>
  </r>
  <r>
    <x v="7"/>
    <s v="AudÃ­fonos Bluetooth"/>
    <x v="0"/>
    <n v="39.99"/>
    <n v="4"/>
    <n v="159.96"/>
    <n v="15"/>
  </r>
  <r>
    <x v="8"/>
    <s v="Laptop BÃ¡sica"/>
    <x v="1"/>
    <n v="499.99"/>
    <n v="1"/>
    <n v="499.99"/>
    <n v="3"/>
  </r>
  <r>
    <x v="8"/>
    <s v="Mouse Gamer"/>
    <x v="0"/>
    <n v="25.99"/>
    <n v="2"/>
    <n v="51.98"/>
    <n v="28"/>
  </r>
  <r>
    <x v="9"/>
    <s v="Teclado MecÃ¡nico"/>
    <x v="0"/>
    <n v="55.99"/>
    <n v="2"/>
    <n v="111.98"/>
    <n v="8"/>
  </r>
  <r>
    <x v="9"/>
    <s v="Laptop Gamer"/>
    <x v="1"/>
    <n v="1499.99"/>
    <n v="1"/>
    <n v="1499.99"/>
    <n v="0"/>
  </r>
  <r>
    <x v="10"/>
    <s v="Monitor 24&quot;"/>
    <x v="1"/>
    <n v="129.99"/>
    <n v="1"/>
    <n v="129.99"/>
    <n v="5"/>
  </r>
  <r>
    <x v="10"/>
    <s v="Tablet 10&quot;"/>
    <x v="1"/>
    <n v="199.99"/>
    <n v="1"/>
    <n v="199.99"/>
    <n v="14"/>
  </r>
  <r>
    <x v="11"/>
    <s v="AudÃ­fonos Bluetooth"/>
    <x v="0"/>
    <n v="39.99"/>
    <n v="2"/>
    <n v="79.98"/>
    <n v="13"/>
  </r>
  <r>
    <x v="11"/>
    <s v="Laptop BÃ¡sica"/>
    <x v="1"/>
    <n v="499.99"/>
    <n v="1"/>
    <n v="499.99"/>
    <n v="2"/>
  </r>
  <r>
    <x v="12"/>
    <s v="Mouse Gamer"/>
    <x v="0"/>
    <n v="25.99"/>
    <n v="2"/>
    <n v="51.98"/>
    <n v="26"/>
  </r>
  <r>
    <x v="12"/>
    <s v="Teclado MecÃ¡nico"/>
    <x v="0"/>
    <n v="55.99"/>
    <n v="1"/>
    <n v="55.99"/>
    <n v="7"/>
  </r>
  <r>
    <x v="13"/>
    <s v="Laptop Gamer"/>
    <x v="1"/>
    <n v="1499.99"/>
    <n v="1"/>
    <n v="1499.99"/>
    <n v="0"/>
  </r>
  <r>
    <x v="13"/>
    <s v="Mouse Gamer"/>
    <x v="0"/>
    <n v="25.99"/>
    <n v="4"/>
    <n v="103.96"/>
    <n v="22"/>
  </r>
  <r>
    <x v="14"/>
    <s v="Tablet 10&quot;"/>
    <x v="1"/>
    <n v="199.99"/>
    <n v="3"/>
    <n v="599.97"/>
    <n v="11"/>
  </r>
  <r>
    <x v="14"/>
    <s v="AudÃ­fonos Bluetooth"/>
    <x v="0"/>
    <n v="39.99"/>
    <n v="2"/>
    <n v="79.98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4E512-21D3-4AE1-A29B-823BBCA7ED18}" name="TablaDinámica1" cacheId="0" applyNumberFormats="0" applyBorderFormats="0" applyFontFormats="0" applyPatternFormats="0" applyAlignmentFormats="0" applyWidthHeightFormats="1" dataCaption="Valores" updatedVersion="8" minRefreshableVersion="5" showDrill="0" useAutoFormatting="1" itemPrintTitles="1" createdVersion="8" indent="0" showHeaders="0" outline="1" outlineData="1" multipleFieldFilters="0" chartFormat="28">
  <location ref="A1:B4" firstHeaderRow="1" firstDataRow="1" firstDataCol="1"/>
  <pivotFields count="7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a de ventas_totales" fld="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16AFA-2054-4A35-80E5-C768FE0367F4}" name="TablaDiná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7">
  <location ref="A30:B46" firstHeaderRow="1" firstDataRow="1" firstDataCol="1"/>
  <pivotFields count="7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ventas_totales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7B79F-8486-41E0-884A-77ABCAB69733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0:B26" firstHeaderRow="1" firstDataRow="1" firstDataCol="1"/>
  <pivotFields count="7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ventas_tot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E51E92FF-7EA6-4128-BAA4-0E8B6DCB7A6E}" sourceName="categoria">
  <pivotTables>
    <pivotTable tabId="3" name="TablaDinámica5"/>
  </pivotTables>
  <data>
    <tabular pivotCacheId="1141517257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" xr10:uid="{2333D946-B9D8-444D-AD17-22B27FD5A083}" cache="SegmentaciónDeDatos_categoria" caption="categoria" showCaption="0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A783A-0309-48DA-9B75-A836A6496D39}" name="tbl_ventas" displayName="tbl_ventas" ref="A1:J31" totalsRowShown="0">
  <autoFilter ref="A1:J31" xr:uid="{626A783A-0309-48DA-9B75-A836A6496D39}"/>
  <tableColumns count="10">
    <tableColumn id="1" xr3:uid="{A3DEC605-9DD4-43F5-ADD1-F816B95B9BBF}" name="date" dataDxfId="3"/>
    <tableColumn id="2" xr3:uid="{0C099EB8-FE64-4ACE-A7EE-42C2CAE8B073}" name="product"/>
    <tableColumn id="3" xr3:uid="{B00A2735-C1F9-42BC-8FCB-89C347B050E7}" name="category"/>
    <tableColumn id="4" xr3:uid="{6AF170AC-841A-405E-B8A1-197AEC8763E5}" name="price"/>
    <tableColumn id="5" xr3:uid="{B5BEDCF0-C234-44ED-BCD1-4715BE5BCEB9}" name="quantity"/>
    <tableColumn id="6" xr3:uid="{9FF8A0B0-4EB7-43D0-9B46-15EAEBEC4E7E}" name="total revenue"/>
    <tableColumn id="7" xr3:uid="{E8581F11-2F04-4D87-A03E-BEE62AEA5B85}" name="inventory"/>
    <tableColumn id="8" xr3:uid="{0C45C161-1B7F-4CBA-8193-39928CDAC361}" name="revenue" dataDxfId="2">
      <calculatedColumnFormula>tbl_ventas[[#This Row],[price]]*tbl_ventas[[#This Row],[quantity]]</calculatedColumnFormula>
    </tableColumn>
    <tableColumn id="9" xr3:uid="{6C14AA0E-580A-46FB-8624-D708DFA82935}" name="profit" dataDxfId="1">
      <calculatedColumnFormula>tbl_ventas[[#This Row],[revenue]]-(tbl_ventas[[#This Row],[inventory]]*tbl_ventas[[#This Row],[quantity]])</calculatedColumnFormula>
    </tableColumn>
    <tableColumn id="10" xr3:uid="{72BC44FE-9773-4BE8-BC15-A93D85976123}" name="margin_pct" dataDxfId="0">
      <calculatedColumnFormula>tbl_ventas[[#This Row],[profit]]/tbl_ventas[[#This Row],[revenue]]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93E73791-D10B-45C0-8886-7F70D2A6085C}" sourceName="fecha">
  <pivotTables>
    <pivotTable tabId="3" name="TablaDinámica5"/>
    <pivotTable tabId="3" name="TablaDinámica1"/>
    <pivotTable tabId="3" name="TablaDinámica3"/>
  </pivotTables>
  <state minimalRefreshVersion="6" lastRefreshVersion="6" pivotCacheId="1141517257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7BD859B5-07D3-4E30-A4AC-EDFD6EAD2CEF}" cache="NativeTimeline_fecha" caption="fecha" level="2" selectionLevel="2" scrollPosition="2025-05-28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C474-3346-4D58-AE67-EFE9BAE9636D}">
  <sheetPr>
    <pageSetUpPr fitToPage="1"/>
  </sheetPr>
  <dimension ref="A1:Q38"/>
  <sheetViews>
    <sheetView showGridLines="0" topLeftCell="A2" zoomScale="75" zoomScaleNormal="75" workbookViewId="0">
      <selection activeCell="C23" sqref="C23"/>
    </sheetView>
  </sheetViews>
  <sheetFormatPr baseColWidth="10" defaultRowHeight="15"/>
  <cols>
    <col min="1" max="1" width="29.85546875" customWidth="1"/>
    <col min="2" max="3" width="16.85546875" customWidth="1"/>
    <col min="4" max="4" width="19" customWidth="1"/>
    <col min="5" max="7" width="11.42578125" customWidth="1"/>
  </cols>
  <sheetData>
    <row r="1" spans="1:17" ht="32.1" customHeight="1">
      <c r="B1" s="9" t="s">
        <v>16</v>
      </c>
      <c r="D1" s="9"/>
      <c r="E1" s="9"/>
      <c r="F1" s="9"/>
    </row>
    <row r="2" spans="1:17" ht="24.95" customHeight="1"/>
    <row r="3" spans="1:17" ht="20.100000000000001" customHeight="1">
      <c r="A3" s="26" t="s">
        <v>4</v>
      </c>
      <c r="B3" s="17"/>
      <c r="D3" s="3"/>
    </row>
    <row r="4" spans="1:17" ht="18" customHeight="1">
      <c r="A4" s="19" t="s">
        <v>5</v>
      </c>
      <c r="B4" s="3"/>
      <c r="D4" s="20">
        <f>KPIs!B3</f>
        <v>10955.489999999996</v>
      </c>
      <c r="E4" s="27"/>
      <c r="Q4" s="28" t="s">
        <v>27</v>
      </c>
    </row>
    <row r="5" spans="1:17" ht="18" customHeight="1">
      <c r="A5" s="19" t="s">
        <v>6</v>
      </c>
      <c r="B5" s="3"/>
      <c r="D5" s="21" t="str">
        <f>KPIs!B4</f>
        <v>Computo</v>
      </c>
    </row>
    <row r="6" spans="1:17" ht="18" customHeight="1">
      <c r="A6" s="19" t="s">
        <v>19</v>
      </c>
      <c r="B6" s="3"/>
      <c r="D6" s="21" t="str">
        <f>SUBSTITUTE(KPIs!B5,"AudÃ­fonos","Audífonos")</f>
        <v>Bluetooth Headphones</v>
      </c>
    </row>
    <row r="7" spans="1:17" ht="18" customHeight="1">
      <c r="A7" s="19" t="s">
        <v>8</v>
      </c>
      <c r="B7" s="3"/>
      <c r="D7" s="20">
        <f>KPIs!B6</f>
        <v>365.18299999999988</v>
      </c>
    </row>
    <row r="8" spans="1:17" ht="18" customHeight="1">
      <c r="A8" s="19" t="s">
        <v>9</v>
      </c>
      <c r="B8" s="3"/>
      <c r="D8" s="21">
        <f>KPIs!B7</f>
        <v>373</v>
      </c>
    </row>
    <row r="9" spans="1:17" ht="18" customHeight="1">
      <c r="A9" s="19" t="s">
        <v>10</v>
      </c>
      <c r="B9" s="3"/>
      <c r="D9" s="21">
        <f>KPIs!B8</f>
        <v>23</v>
      </c>
    </row>
    <row r="10" spans="1:17" ht="24.95" customHeight="1"/>
    <row r="11" spans="1:17" ht="20.100000000000001" customHeight="1">
      <c r="A11" s="26" t="s">
        <v>18</v>
      </c>
      <c r="B11" s="17"/>
      <c r="D11" s="14"/>
    </row>
    <row r="12" spans="1:17" ht="18" customHeight="1">
      <c r="A12" s="19" t="s">
        <v>21</v>
      </c>
      <c r="B12" s="3"/>
      <c r="D12" s="22">
        <f>D4</f>
        <v>10955.489999999996</v>
      </c>
    </row>
    <row r="13" spans="1:17" ht="18" customHeight="1">
      <c r="A13" s="19" t="s">
        <v>17</v>
      </c>
      <c r="B13" s="3"/>
      <c r="D13" s="22" t="str">
        <f>D5</f>
        <v>Computo</v>
      </c>
      <c r="Q13" s="18"/>
    </row>
    <row r="14" spans="1:17" ht="18" customHeight="1">
      <c r="A14" s="19" t="s">
        <v>22</v>
      </c>
      <c r="B14" s="3"/>
      <c r="D14" s="23">
        <f>D9</f>
        <v>23</v>
      </c>
    </row>
    <row r="15" spans="1:17" ht="24.95" customHeight="1"/>
    <row r="16" spans="1:17" ht="20.100000000000001" customHeight="1">
      <c r="A16" s="25" t="s">
        <v>20</v>
      </c>
      <c r="B16" s="16"/>
    </row>
    <row r="17" spans="1:4" ht="18" customHeight="1">
      <c r="A17" s="24" t="s">
        <v>23</v>
      </c>
      <c r="B17" s="15"/>
      <c r="D17" s="6"/>
    </row>
    <row r="18" spans="1:4" ht="18" customHeight="1">
      <c r="A18" s="24" t="s">
        <v>24</v>
      </c>
      <c r="B18" s="15"/>
      <c r="D18" s="6"/>
    </row>
    <row r="19" spans="1:4" ht="18" customHeight="1">
      <c r="A19" s="24" t="s">
        <v>25</v>
      </c>
      <c r="B19" s="15"/>
    </row>
    <row r="32" spans="1:4" ht="18.75">
      <c r="A32" s="16"/>
      <c r="B32" s="16"/>
    </row>
    <row r="33" spans="1:2">
      <c r="A33" s="15"/>
      <c r="B33" s="15"/>
    </row>
    <row r="34" spans="1:2">
      <c r="A34" s="15"/>
      <c r="B34" s="15"/>
    </row>
    <row r="35" spans="1:2">
      <c r="A35" s="15"/>
      <c r="B35" s="15"/>
    </row>
    <row r="36" spans="1:2">
      <c r="A36" s="15"/>
      <c r="B36" s="15"/>
    </row>
    <row r="37" spans="1:2">
      <c r="A37" s="15"/>
      <c r="B37" s="15"/>
    </row>
    <row r="38" spans="1:2">
      <c r="A38" s="15"/>
      <c r="B38" s="15"/>
    </row>
  </sheetData>
  <printOptions horizontalCentered="1"/>
  <pageMargins left="0.70866141732283472" right="0" top="0.74803149606299213" bottom="0.74803149606299213" header="0.31496062992125984" footer="0.31496062992125984"/>
  <pageSetup scale="4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FC0F-0A98-43C6-A5ED-87139A9C0772}">
  <dimension ref="A1:J31"/>
  <sheetViews>
    <sheetView tabSelected="1" workbookViewId="0">
      <selection activeCell="J1" sqref="J1"/>
    </sheetView>
  </sheetViews>
  <sheetFormatPr baseColWidth="10" defaultRowHeight="15"/>
  <cols>
    <col min="6" max="6" width="16.28515625" customWidth="1"/>
    <col min="7" max="7" width="12.28515625" customWidth="1"/>
  </cols>
  <sheetData>
    <row r="1" spans="1:10">
      <c r="A1" t="s">
        <v>34</v>
      </c>
      <c r="B1" t="s">
        <v>35</v>
      </c>
      <c r="C1" t="s">
        <v>38</v>
      </c>
      <c r="D1" t="s">
        <v>39</v>
      </c>
      <c r="E1" t="s">
        <v>40</v>
      </c>
      <c r="F1" t="s">
        <v>42</v>
      </c>
      <c r="G1" t="s">
        <v>41</v>
      </c>
      <c r="H1" t="s">
        <v>43</v>
      </c>
      <c r="I1" t="s">
        <v>44</v>
      </c>
      <c r="J1" t="s">
        <v>45</v>
      </c>
    </row>
    <row r="2" spans="1:10">
      <c r="A2" s="1">
        <v>45658</v>
      </c>
      <c r="B2" t="s">
        <v>28</v>
      </c>
      <c r="C2" t="s">
        <v>36</v>
      </c>
      <c r="D2">
        <v>25.99</v>
      </c>
      <c r="E2">
        <v>2</v>
      </c>
      <c r="F2">
        <v>51.98</v>
      </c>
      <c r="G2">
        <v>34</v>
      </c>
      <c r="H2">
        <f>tbl_ventas[[#This Row],[price]]*tbl_ventas[[#This Row],[quantity]]</f>
        <v>51.98</v>
      </c>
      <c r="I2">
        <f>tbl_ventas[[#This Row],[revenue]]-(tbl_ventas[[#This Row],[inventory]]*tbl_ventas[[#This Row],[quantity]])</f>
        <v>-16.020000000000003</v>
      </c>
      <c r="J2">
        <f>tbl_ventas[[#This Row],[profit]]/tbl_ventas[[#This Row],[revenue]]</f>
        <v>-0.30819545979222784</v>
      </c>
    </row>
    <row r="3" spans="1:10">
      <c r="A3" s="1">
        <v>45658</v>
      </c>
      <c r="B3" t="s">
        <v>29</v>
      </c>
      <c r="C3" t="s">
        <v>36</v>
      </c>
      <c r="D3">
        <v>55.99</v>
      </c>
      <c r="E3">
        <v>1</v>
      </c>
      <c r="F3">
        <v>55.99</v>
      </c>
      <c r="G3">
        <v>12</v>
      </c>
      <c r="H3">
        <f>tbl_ventas[[#This Row],[price]]*tbl_ventas[[#This Row],[quantity]]</f>
        <v>55.99</v>
      </c>
      <c r="I3">
        <f>tbl_ventas[[#This Row],[revenue]]-(tbl_ventas[[#This Row],[inventory]]*tbl_ventas[[#This Row],[quantity]])</f>
        <v>43.99</v>
      </c>
      <c r="J3">
        <f>tbl_ventas[[#This Row],[profit]]/tbl_ventas[[#This Row],[revenue]]</f>
        <v>0.78567601357385253</v>
      </c>
    </row>
    <row r="4" spans="1:10">
      <c r="A4" s="1">
        <v>45659</v>
      </c>
      <c r="B4" t="s">
        <v>30</v>
      </c>
      <c r="C4" t="s">
        <v>36</v>
      </c>
      <c r="D4">
        <v>39.99</v>
      </c>
      <c r="E4">
        <v>3</v>
      </c>
      <c r="F4">
        <v>119.97</v>
      </c>
      <c r="G4">
        <v>20</v>
      </c>
      <c r="H4">
        <f>tbl_ventas[[#This Row],[price]]*tbl_ventas[[#This Row],[quantity]]</f>
        <v>119.97</v>
      </c>
      <c r="I4">
        <f>tbl_ventas[[#This Row],[revenue]]-(tbl_ventas[[#This Row],[inventory]]*tbl_ventas[[#This Row],[quantity]])</f>
        <v>59.97</v>
      </c>
      <c r="J4">
        <f>tbl_ventas[[#This Row],[profit]]/tbl_ventas[[#This Row],[revenue]]</f>
        <v>0.49987496874218557</v>
      </c>
    </row>
    <row r="5" spans="1:10">
      <c r="A5" s="1">
        <v>45659</v>
      </c>
      <c r="B5" t="s">
        <v>31</v>
      </c>
      <c r="C5" t="s">
        <v>37</v>
      </c>
      <c r="D5">
        <v>499.99</v>
      </c>
      <c r="E5">
        <v>1</v>
      </c>
      <c r="F5">
        <v>499.99</v>
      </c>
      <c r="G5">
        <v>5</v>
      </c>
      <c r="H5">
        <f>tbl_ventas[[#This Row],[price]]*tbl_ventas[[#This Row],[quantity]]</f>
        <v>499.99</v>
      </c>
      <c r="I5">
        <f>tbl_ventas[[#This Row],[revenue]]-(tbl_ventas[[#This Row],[inventory]]*tbl_ventas[[#This Row],[quantity]])</f>
        <v>494.99</v>
      </c>
      <c r="J5">
        <f>tbl_ventas[[#This Row],[profit]]/tbl_ventas[[#This Row],[revenue]]</f>
        <v>0.98999979999599996</v>
      </c>
    </row>
    <row r="6" spans="1:10">
      <c r="A6" s="1">
        <v>45660</v>
      </c>
      <c r="B6" t="s">
        <v>1</v>
      </c>
      <c r="C6" t="s">
        <v>37</v>
      </c>
      <c r="D6">
        <v>1499.99</v>
      </c>
      <c r="E6">
        <v>1</v>
      </c>
      <c r="F6">
        <v>1499.99</v>
      </c>
      <c r="G6">
        <v>2</v>
      </c>
      <c r="H6">
        <f>tbl_ventas[[#This Row],[price]]*tbl_ventas[[#This Row],[quantity]]</f>
        <v>1499.99</v>
      </c>
      <c r="I6">
        <f>tbl_ventas[[#This Row],[revenue]]-(tbl_ventas[[#This Row],[inventory]]*tbl_ventas[[#This Row],[quantity]])</f>
        <v>1497.99</v>
      </c>
      <c r="J6">
        <f>tbl_ventas[[#This Row],[profit]]/tbl_ventas[[#This Row],[revenue]]</f>
        <v>0.99866665777771857</v>
      </c>
    </row>
    <row r="7" spans="1:10">
      <c r="A7" s="1">
        <v>45660</v>
      </c>
      <c r="B7" t="s">
        <v>28</v>
      </c>
      <c r="C7" t="s">
        <v>36</v>
      </c>
      <c r="D7">
        <v>25.99</v>
      </c>
      <c r="E7">
        <v>1</v>
      </c>
      <c r="F7">
        <v>25.99</v>
      </c>
      <c r="G7">
        <v>33</v>
      </c>
      <c r="H7">
        <f>tbl_ventas[[#This Row],[price]]*tbl_ventas[[#This Row],[quantity]]</f>
        <v>25.99</v>
      </c>
      <c r="I7">
        <f>tbl_ventas[[#This Row],[revenue]]-(tbl_ventas[[#This Row],[inventory]]*tbl_ventas[[#This Row],[quantity]])</f>
        <v>-7.0100000000000016</v>
      </c>
      <c r="J7">
        <f>tbl_ventas[[#This Row],[profit]]/tbl_ventas[[#This Row],[revenue]]</f>
        <v>-0.26971912273951526</v>
      </c>
    </row>
    <row r="8" spans="1:10">
      <c r="A8" s="1">
        <v>45661</v>
      </c>
      <c r="B8" t="s">
        <v>29</v>
      </c>
      <c r="C8" t="s">
        <v>36</v>
      </c>
      <c r="D8">
        <v>55.99</v>
      </c>
      <c r="E8">
        <v>2</v>
      </c>
      <c r="F8">
        <v>111.98</v>
      </c>
      <c r="G8">
        <v>10</v>
      </c>
      <c r="H8">
        <f>tbl_ventas[[#This Row],[price]]*tbl_ventas[[#This Row],[quantity]]</f>
        <v>111.98</v>
      </c>
      <c r="I8">
        <f>tbl_ventas[[#This Row],[revenue]]-(tbl_ventas[[#This Row],[inventory]]*tbl_ventas[[#This Row],[quantity]])</f>
        <v>91.98</v>
      </c>
      <c r="J8">
        <f>tbl_ventas[[#This Row],[profit]]/tbl_ventas[[#This Row],[revenue]]</f>
        <v>0.82139667797821037</v>
      </c>
    </row>
    <row r="9" spans="1:10">
      <c r="A9" s="1">
        <v>45661</v>
      </c>
      <c r="B9" t="s">
        <v>32</v>
      </c>
      <c r="C9" t="s">
        <v>37</v>
      </c>
      <c r="D9">
        <v>129.99</v>
      </c>
      <c r="E9">
        <v>1</v>
      </c>
      <c r="F9">
        <v>129.99</v>
      </c>
      <c r="G9">
        <v>8</v>
      </c>
      <c r="H9">
        <f>tbl_ventas[[#This Row],[price]]*tbl_ventas[[#This Row],[quantity]]</f>
        <v>129.99</v>
      </c>
      <c r="I9">
        <f>tbl_ventas[[#This Row],[revenue]]-(tbl_ventas[[#This Row],[inventory]]*tbl_ventas[[#This Row],[quantity]])</f>
        <v>121.99000000000001</v>
      </c>
      <c r="J9">
        <f>tbl_ventas[[#This Row],[profit]]/tbl_ventas[[#This Row],[revenue]]</f>
        <v>0.93845680436956691</v>
      </c>
    </row>
    <row r="10" spans="1:10">
      <c r="A10" s="1">
        <v>45662</v>
      </c>
      <c r="B10" t="s">
        <v>33</v>
      </c>
      <c r="C10" t="s">
        <v>37</v>
      </c>
      <c r="D10">
        <v>199.99</v>
      </c>
      <c r="E10">
        <v>2</v>
      </c>
      <c r="F10">
        <v>399.98</v>
      </c>
      <c r="G10">
        <v>15</v>
      </c>
      <c r="H10">
        <f>tbl_ventas[[#This Row],[price]]*tbl_ventas[[#This Row],[quantity]]</f>
        <v>399.98</v>
      </c>
      <c r="I10">
        <f>tbl_ventas[[#This Row],[revenue]]-(tbl_ventas[[#This Row],[inventory]]*tbl_ventas[[#This Row],[quantity]])</f>
        <v>369.98</v>
      </c>
      <c r="J10">
        <f>tbl_ventas[[#This Row],[profit]]/tbl_ventas[[#This Row],[revenue]]</f>
        <v>0.92499624981249062</v>
      </c>
    </row>
    <row r="11" spans="1:10">
      <c r="A11" s="1">
        <v>45662</v>
      </c>
      <c r="B11" t="s">
        <v>30</v>
      </c>
      <c r="C11" t="s">
        <v>36</v>
      </c>
      <c r="D11">
        <v>39.99</v>
      </c>
      <c r="E11">
        <v>1</v>
      </c>
      <c r="F11">
        <v>39.99</v>
      </c>
      <c r="G11">
        <v>19</v>
      </c>
      <c r="H11">
        <f>tbl_ventas[[#This Row],[price]]*tbl_ventas[[#This Row],[quantity]]</f>
        <v>39.99</v>
      </c>
      <c r="I11">
        <f>tbl_ventas[[#This Row],[revenue]]-(tbl_ventas[[#This Row],[inventory]]*tbl_ventas[[#This Row],[quantity]])</f>
        <v>20.990000000000002</v>
      </c>
      <c r="J11">
        <f>tbl_ventas[[#This Row],[profit]]/tbl_ventas[[#This Row],[revenue]]</f>
        <v>0.52488122030507633</v>
      </c>
    </row>
    <row r="12" spans="1:10">
      <c r="A12" s="1">
        <v>45663</v>
      </c>
      <c r="B12" t="s">
        <v>31</v>
      </c>
      <c r="C12" t="s">
        <v>37</v>
      </c>
      <c r="D12">
        <v>499.99</v>
      </c>
      <c r="E12">
        <v>1</v>
      </c>
      <c r="F12">
        <v>499.99</v>
      </c>
      <c r="G12">
        <v>4</v>
      </c>
      <c r="H12">
        <f>tbl_ventas[[#This Row],[price]]*tbl_ventas[[#This Row],[quantity]]</f>
        <v>499.99</v>
      </c>
      <c r="I12">
        <f>tbl_ventas[[#This Row],[revenue]]-(tbl_ventas[[#This Row],[inventory]]*tbl_ventas[[#This Row],[quantity]])</f>
        <v>495.99</v>
      </c>
      <c r="J12">
        <f>tbl_ventas[[#This Row],[profit]]/tbl_ventas[[#This Row],[revenue]]</f>
        <v>0.99199983999679997</v>
      </c>
    </row>
    <row r="13" spans="1:10">
      <c r="A13" s="1">
        <v>45663</v>
      </c>
      <c r="B13" t="s">
        <v>28</v>
      </c>
      <c r="C13" t="s">
        <v>36</v>
      </c>
      <c r="D13">
        <v>25.99</v>
      </c>
      <c r="E13">
        <v>3</v>
      </c>
      <c r="F13">
        <v>77.97</v>
      </c>
      <c r="G13">
        <v>30</v>
      </c>
      <c r="H13">
        <f>tbl_ventas[[#This Row],[price]]*tbl_ventas[[#This Row],[quantity]]</f>
        <v>77.97</v>
      </c>
      <c r="I13">
        <f>tbl_ventas[[#This Row],[revenue]]-(tbl_ventas[[#This Row],[inventory]]*tbl_ventas[[#This Row],[quantity]])</f>
        <v>-12.030000000000001</v>
      </c>
      <c r="J13">
        <f>tbl_ventas[[#This Row],[profit]]/tbl_ventas[[#This Row],[revenue]]</f>
        <v>-0.15429011158137748</v>
      </c>
    </row>
    <row r="14" spans="1:10">
      <c r="A14" s="1">
        <v>45664</v>
      </c>
      <c r="B14" t="s">
        <v>29</v>
      </c>
      <c r="C14" t="s">
        <v>36</v>
      </c>
      <c r="D14">
        <v>55.99</v>
      </c>
      <c r="E14">
        <v>1</v>
      </c>
      <c r="F14">
        <v>55.99</v>
      </c>
      <c r="G14">
        <v>9</v>
      </c>
      <c r="H14">
        <f>tbl_ventas[[#This Row],[price]]*tbl_ventas[[#This Row],[quantity]]</f>
        <v>55.99</v>
      </c>
      <c r="I14">
        <f>tbl_ventas[[#This Row],[revenue]]-(tbl_ventas[[#This Row],[inventory]]*tbl_ventas[[#This Row],[quantity]])</f>
        <v>46.99</v>
      </c>
      <c r="J14">
        <f>tbl_ventas[[#This Row],[profit]]/tbl_ventas[[#This Row],[revenue]]</f>
        <v>0.83925701018038934</v>
      </c>
    </row>
    <row r="15" spans="1:10">
      <c r="A15" s="1">
        <v>45664</v>
      </c>
      <c r="B15" t="s">
        <v>1</v>
      </c>
      <c r="C15" t="s">
        <v>37</v>
      </c>
      <c r="D15">
        <v>1499.99</v>
      </c>
      <c r="E15">
        <v>1</v>
      </c>
      <c r="F15">
        <v>1499.99</v>
      </c>
      <c r="G15">
        <v>1</v>
      </c>
      <c r="H15">
        <f>tbl_ventas[[#This Row],[price]]*tbl_ventas[[#This Row],[quantity]]</f>
        <v>1499.99</v>
      </c>
      <c r="I15">
        <f>tbl_ventas[[#This Row],[revenue]]-(tbl_ventas[[#This Row],[inventory]]*tbl_ventas[[#This Row],[quantity]])</f>
        <v>1498.99</v>
      </c>
      <c r="J15">
        <f>tbl_ventas[[#This Row],[profit]]/tbl_ventas[[#This Row],[revenue]]</f>
        <v>0.99933332888885928</v>
      </c>
    </row>
    <row r="16" spans="1:10">
      <c r="A16" s="1">
        <v>45665</v>
      </c>
      <c r="B16" t="s">
        <v>32</v>
      </c>
      <c r="C16" t="s">
        <v>37</v>
      </c>
      <c r="D16">
        <v>129.99</v>
      </c>
      <c r="E16">
        <v>2</v>
      </c>
      <c r="F16">
        <v>259.98</v>
      </c>
      <c r="G16">
        <v>6</v>
      </c>
      <c r="H16">
        <f>tbl_ventas[[#This Row],[price]]*tbl_ventas[[#This Row],[quantity]]</f>
        <v>259.98</v>
      </c>
      <c r="I16">
        <f>tbl_ventas[[#This Row],[revenue]]-(tbl_ventas[[#This Row],[inventory]]*tbl_ventas[[#This Row],[quantity]])</f>
        <v>247.98000000000002</v>
      </c>
      <c r="J16">
        <f>tbl_ventas[[#This Row],[profit]]/tbl_ventas[[#This Row],[revenue]]</f>
        <v>0.95384260327717518</v>
      </c>
    </row>
    <row r="17" spans="1:10">
      <c r="A17" s="1">
        <v>45665</v>
      </c>
      <c r="B17" t="s">
        <v>30</v>
      </c>
      <c r="C17" t="s">
        <v>36</v>
      </c>
      <c r="D17">
        <v>39.99</v>
      </c>
      <c r="E17">
        <v>4</v>
      </c>
      <c r="F17">
        <v>159.96</v>
      </c>
      <c r="G17">
        <v>15</v>
      </c>
      <c r="H17">
        <f>tbl_ventas[[#This Row],[price]]*tbl_ventas[[#This Row],[quantity]]</f>
        <v>159.96</v>
      </c>
      <c r="I17">
        <f>tbl_ventas[[#This Row],[revenue]]-(tbl_ventas[[#This Row],[inventory]]*tbl_ventas[[#This Row],[quantity]])</f>
        <v>99.960000000000008</v>
      </c>
      <c r="J17">
        <f>tbl_ventas[[#This Row],[profit]]/tbl_ventas[[#This Row],[revenue]]</f>
        <v>0.62490622655663919</v>
      </c>
    </row>
    <row r="18" spans="1:10">
      <c r="A18" s="1">
        <v>45666</v>
      </c>
      <c r="B18" t="s">
        <v>31</v>
      </c>
      <c r="C18" t="s">
        <v>37</v>
      </c>
      <c r="D18">
        <v>499.99</v>
      </c>
      <c r="E18">
        <v>1</v>
      </c>
      <c r="F18">
        <v>499.99</v>
      </c>
      <c r="G18">
        <v>3</v>
      </c>
      <c r="H18">
        <f>tbl_ventas[[#This Row],[price]]*tbl_ventas[[#This Row],[quantity]]</f>
        <v>499.99</v>
      </c>
      <c r="I18">
        <f>tbl_ventas[[#This Row],[revenue]]-(tbl_ventas[[#This Row],[inventory]]*tbl_ventas[[#This Row],[quantity]])</f>
        <v>496.99</v>
      </c>
      <c r="J18">
        <f>tbl_ventas[[#This Row],[profit]]/tbl_ventas[[#This Row],[revenue]]</f>
        <v>0.99399987999759998</v>
      </c>
    </row>
    <row r="19" spans="1:10">
      <c r="A19" s="1">
        <v>45666</v>
      </c>
      <c r="B19" t="s">
        <v>28</v>
      </c>
      <c r="C19" t="s">
        <v>36</v>
      </c>
      <c r="D19">
        <v>25.99</v>
      </c>
      <c r="E19">
        <v>2</v>
      </c>
      <c r="F19">
        <v>51.98</v>
      </c>
      <c r="G19">
        <v>28</v>
      </c>
      <c r="H19">
        <f>tbl_ventas[[#This Row],[price]]*tbl_ventas[[#This Row],[quantity]]</f>
        <v>51.98</v>
      </c>
      <c r="I19">
        <f>tbl_ventas[[#This Row],[revenue]]-(tbl_ventas[[#This Row],[inventory]]*tbl_ventas[[#This Row],[quantity]])</f>
        <v>-4.0200000000000031</v>
      </c>
      <c r="J19">
        <f>tbl_ventas[[#This Row],[profit]]/tbl_ventas[[#This Row],[revenue]]</f>
        <v>-7.7337437475952356E-2</v>
      </c>
    </row>
    <row r="20" spans="1:10">
      <c r="A20" s="1">
        <v>45667</v>
      </c>
      <c r="B20" t="s">
        <v>29</v>
      </c>
      <c r="C20" t="s">
        <v>36</v>
      </c>
      <c r="D20">
        <v>55.99</v>
      </c>
      <c r="E20">
        <v>2</v>
      </c>
      <c r="F20">
        <v>111.98</v>
      </c>
      <c r="G20">
        <v>8</v>
      </c>
      <c r="H20">
        <f>tbl_ventas[[#This Row],[price]]*tbl_ventas[[#This Row],[quantity]]</f>
        <v>111.98</v>
      </c>
      <c r="I20">
        <f>tbl_ventas[[#This Row],[revenue]]-(tbl_ventas[[#This Row],[inventory]]*tbl_ventas[[#This Row],[quantity]])</f>
        <v>95.98</v>
      </c>
      <c r="J20">
        <f>tbl_ventas[[#This Row],[profit]]/tbl_ventas[[#This Row],[revenue]]</f>
        <v>0.85711734238256831</v>
      </c>
    </row>
    <row r="21" spans="1:10">
      <c r="A21" s="1">
        <v>45667</v>
      </c>
      <c r="B21" t="s">
        <v>1</v>
      </c>
      <c r="C21" t="s">
        <v>37</v>
      </c>
      <c r="D21">
        <v>1499.99</v>
      </c>
      <c r="E21">
        <v>1</v>
      </c>
      <c r="F21">
        <v>1499.99</v>
      </c>
      <c r="G21">
        <v>0</v>
      </c>
      <c r="H21">
        <f>tbl_ventas[[#This Row],[price]]*tbl_ventas[[#This Row],[quantity]]</f>
        <v>1499.99</v>
      </c>
      <c r="I21">
        <f>tbl_ventas[[#This Row],[revenue]]-(tbl_ventas[[#This Row],[inventory]]*tbl_ventas[[#This Row],[quantity]])</f>
        <v>1499.99</v>
      </c>
      <c r="J21">
        <f>tbl_ventas[[#This Row],[profit]]/tbl_ventas[[#This Row],[revenue]]</f>
        <v>1</v>
      </c>
    </row>
    <row r="22" spans="1:10">
      <c r="A22" s="1">
        <v>45668</v>
      </c>
      <c r="B22" t="s">
        <v>32</v>
      </c>
      <c r="C22" t="s">
        <v>37</v>
      </c>
      <c r="D22">
        <v>129.99</v>
      </c>
      <c r="E22">
        <v>1</v>
      </c>
      <c r="F22">
        <v>129.99</v>
      </c>
      <c r="G22">
        <v>5</v>
      </c>
      <c r="H22">
        <f>tbl_ventas[[#This Row],[price]]*tbl_ventas[[#This Row],[quantity]]</f>
        <v>129.99</v>
      </c>
      <c r="I22">
        <f>tbl_ventas[[#This Row],[revenue]]-(tbl_ventas[[#This Row],[inventory]]*tbl_ventas[[#This Row],[quantity]])</f>
        <v>124.99000000000001</v>
      </c>
      <c r="J22">
        <f>tbl_ventas[[#This Row],[profit]]/tbl_ventas[[#This Row],[revenue]]</f>
        <v>0.96153550273097932</v>
      </c>
    </row>
    <row r="23" spans="1:10">
      <c r="A23" s="1">
        <v>45668</v>
      </c>
      <c r="B23" t="s">
        <v>33</v>
      </c>
      <c r="C23" t="s">
        <v>37</v>
      </c>
      <c r="D23">
        <v>199.99</v>
      </c>
      <c r="E23">
        <v>1</v>
      </c>
      <c r="F23">
        <v>199.99</v>
      </c>
      <c r="G23">
        <v>14</v>
      </c>
      <c r="H23">
        <f>tbl_ventas[[#This Row],[price]]*tbl_ventas[[#This Row],[quantity]]</f>
        <v>199.99</v>
      </c>
      <c r="I23">
        <f>tbl_ventas[[#This Row],[revenue]]-(tbl_ventas[[#This Row],[inventory]]*tbl_ventas[[#This Row],[quantity]])</f>
        <v>185.99</v>
      </c>
      <c r="J23">
        <f>tbl_ventas[[#This Row],[profit]]/tbl_ventas[[#This Row],[revenue]]</f>
        <v>0.92999649982499122</v>
      </c>
    </row>
    <row r="24" spans="1:10">
      <c r="A24" s="1">
        <v>45669</v>
      </c>
      <c r="B24" t="s">
        <v>30</v>
      </c>
      <c r="C24" t="s">
        <v>36</v>
      </c>
      <c r="D24">
        <v>39.99</v>
      </c>
      <c r="E24">
        <v>2</v>
      </c>
      <c r="F24">
        <v>79.98</v>
      </c>
      <c r="G24">
        <v>13</v>
      </c>
      <c r="H24">
        <f>tbl_ventas[[#This Row],[price]]*tbl_ventas[[#This Row],[quantity]]</f>
        <v>79.98</v>
      </c>
      <c r="I24">
        <f>tbl_ventas[[#This Row],[revenue]]-(tbl_ventas[[#This Row],[inventory]]*tbl_ventas[[#This Row],[quantity]])</f>
        <v>53.980000000000004</v>
      </c>
      <c r="J24">
        <f>tbl_ventas[[#This Row],[profit]]/tbl_ventas[[#This Row],[revenue]]</f>
        <v>0.67491872968242062</v>
      </c>
    </row>
    <row r="25" spans="1:10">
      <c r="A25" s="1">
        <v>45669</v>
      </c>
      <c r="B25" t="s">
        <v>31</v>
      </c>
      <c r="C25" t="s">
        <v>37</v>
      </c>
      <c r="D25">
        <v>499.99</v>
      </c>
      <c r="E25">
        <v>1</v>
      </c>
      <c r="F25">
        <v>499.99</v>
      </c>
      <c r="G25">
        <v>2</v>
      </c>
      <c r="H25">
        <f>tbl_ventas[[#This Row],[price]]*tbl_ventas[[#This Row],[quantity]]</f>
        <v>499.99</v>
      </c>
      <c r="I25">
        <f>tbl_ventas[[#This Row],[revenue]]-(tbl_ventas[[#This Row],[inventory]]*tbl_ventas[[#This Row],[quantity]])</f>
        <v>497.99</v>
      </c>
      <c r="J25">
        <f>tbl_ventas[[#This Row],[profit]]/tbl_ventas[[#This Row],[revenue]]</f>
        <v>0.99599991999839999</v>
      </c>
    </row>
    <row r="26" spans="1:10">
      <c r="A26" s="1">
        <v>45670</v>
      </c>
      <c r="B26" t="s">
        <v>28</v>
      </c>
      <c r="C26" t="s">
        <v>36</v>
      </c>
      <c r="D26">
        <v>25.99</v>
      </c>
      <c r="E26">
        <v>2</v>
      </c>
      <c r="F26">
        <v>51.98</v>
      </c>
      <c r="G26">
        <v>26</v>
      </c>
      <c r="H26">
        <f>tbl_ventas[[#This Row],[price]]*tbl_ventas[[#This Row],[quantity]]</f>
        <v>51.98</v>
      </c>
      <c r="I26">
        <f>tbl_ventas[[#This Row],[revenue]]-(tbl_ventas[[#This Row],[inventory]]*tbl_ventas[[#This Row],[quantity]])</f>
        <v>-2.0000000000003126E-2</v>
      </c>
      <c r="J26">
        <f>tbl_ventas[[#This Row],[profit]]/tbl_ventas[[#This Row],[revenue]]</f>
        <v>-3.8476337052718596E-4</v>
      </c>
    </row>
    <row r="27" spans="1:10">
      <c r="A27" s="1">
        <v>45670</v>
      </c>
      <c r="B27" t="s">
        <v>29</v>
      </c>
      <c r="C27" t="s">
        <v>36</v>
      </c>
      <c r="D27">
        <v>55.99</v>
      </c>
      <c r="E27">
        <v>1</v>
      </c>
      <c r="F27">
        <v>55.99</v>
      </c>
      <c r="G27">
        <v>7</v>
      </c>
      <c r="H27">
        <f>tbl_ventas[[#This Row],[price]]*tbl_ventas[[#This Row],[quantity]]</f>
        <v>55.99</v>
      </c>
      <c r="I27">
        <f>tbl_ventas[[#This Row],[revenue]]-(tbl_ventas[[#This Row],[inventory]]*tbl_ventas[[#This Row],[quantity]])</f>
        <v>48.99</v>
      </c>
      <c r="J27">
        <f>tbl_ventas[[#This Row],[profit]]/tbl_ventas[[#This Row],[revenue]]</f>
        <v>0.87497767458474729</v>
      </c>
    </row>
    <row r="28" spans="1:10">
      <c r="A28" s="1">
        <v>45671</v>
      </c>
      <c r="B28" t="s">
        <v>1</v>
      </c>
      <c r="C28" t="s">
        <v>37</v>
      </c>
      <c r="D28">
        <v>1499.99</v>
      </c>
      <c r="E28">
        <v>1</v>
      </c>
      <c r="F28">
        <v>1499.99</v>
      </c>
      <c r="G28">
        <v>0</v>
      </c>
      <c r="H28">
        <f>tbl_ventas[[#This Row],[price]]*tbl_ventas[[#This Row],[quantity]]</f>
        <v>1499.99</v>
      </c>
      <c r="I28">
        <f>tbl_ventas[[#This Row],[revenue]]-(tbl_ventas[[#This Row],[inventory]]*tbl_ventas[[#This Row],[quantity]])</f>
        <v>1499.99</v>
      </c>
      <c r="J28">
        <f>tbl_ventas[[#This Row],[profit]]/tbl_ventas[[#This Row],[revenue]]</f>
        <v>1</v>
      </c>
    </row>
    <row r="29" spans="1:10">
      <c r="A29" s="1">
        <v>45671</v>
      </c>
      <c r="B29" t="s">
        <v>28</v>
      </c>
      <c r="C29" t="s">
        <v>36</v>
      </c>
      <c r="D29">
        <v>25.99</v>
      </c>
      <c r="E29">
        <v>4</v>
      </c>
      <c r="F29">
        <v>103.96</v>
      </c>
      <c r="G29">
        <v>22</v>
      </c>
      <c r="H29">
        <f>tbl_ventas[[#This Row],[price]]*tbl_ventas[[#This Row],[quantity]]</f>
        <v>103.96</v>
      </c>
      <c r="I29">
        <f>tbl_ventas[[#This Row],[revenue]]-(tbl_ventas[[#This Row],[inventory]]*tbl_ventas[[#This Row],[quantity]])</f>
        <v>15.959999999999994</v>
      </c>
      <c r="J29">
        <f>tbl_ventas[[#This Row],[profit]]/tbl_ventas[[#This Row],[revenue]]</f>
        <v>0.15352058484032316</v>
      </c>
    </row>
    <row r="30" spans="1:10">
      <c r="A30" s="1">
        <v>45672</v>
      </c>
      <c r="B30" t="s">
        <v>33</v>
      </c>
      <c r="C30" t="s">
        <v>37</v>
      </c>
      <c r="D30">
        <v>199.99</v>
      </c>
      <c r="E30">
        <v>3</v>
      </c>
      <c r="F30">
        <v>599.97</v>
      </c>
      <c r="G30">
        <v>11</v>
      </c>
      <c r="H30">
        <f>tbl_ventas[[#This Row],[price]]*tbl_ventas[[#This Row],[quantity]]</f>
        <v>599.97</v>
      </c>
      <c r="I30">
        <f>tbl_ventas[[#This Row],[revenue]]-(tbl_ventas[[#This Row],[inventory]]*tbl_ventas[[#This Row],[quantity]])</f>
        <v>566.97</v>
      </c>
      <c r="J30">
        <f>tbl_ventas[[#This Row],[profit]]/tbl_ventas[[#This Row],[revenue]]</f>
        <v>0.94499724986249312</v>
      </c>
    </row>
    <row r="31" spans="1:10">
      <c r="A31" s="1">
        <v>45672</v>
      </c>
      <c r="B31" t="s">
        <v>30</v>
      </c>
      <c r="C31" t="s">
        <v>36</v>
      </c>
      <c r="D31">
        <v>39.99</v>
      </c>
      <c r="E31">
        <v>2</v>
      </c>
      <c r="F31">
        <v>79.98</v>
      </c>
      <c r="G31">
        <v>11</v>
      </c>
      <c r="H31">
        <f>tbl_ventas[[#This Row],[price]]*tbl_ventas[[#This Row],[quantity]]</f>
        <v>79.98</v>
      </c>
      <c r="I31">
        <f>tbl_ventas[[#This Row],[revenue]]-(tbl_ventas[[#This Row],[inventory]]*tbl_ventas[[#This Row],[quantity]])</f>
        <v>57.980000000000004</v>
      </c>
      <c r="J31">
        <f>tbl_ventas[[#This Row],[profit]]/tbl_ventas[[#This Row],[revenue]]</f>
        <v>0.72493123280820204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D08E-A807-4FAC-ADDD-43B8369AD551}">
  <dimension ref="A1:B11"/>
  <sheetViews>
    <sheetView workbookViewId="0">
      <selection activeCell="G8" sqref="G8"/>
    </sheetView>
  </sheetViews>
  <sheetFormatPr baseColWidth="10" defaultRowHeight="15"/>
  <sheetData>
    <row r="1" spans="1:2">
      <c r="A1" s="2" t="s">
        <v>2</v>
      </c>
      <c r="B1" s="2" t="s">
        <v>3</v>
      </c>
    </row>
    <row r="2" spans="1:2">
      <c r="A2" s="3" t="s">
        <v>4</v>
      </c>
      <c r="B2" s="3"/>
    </row>
    <row r="3" spans="1:2" ht="30">
      <c r="A3" s="3" t="s">
        <v>5</v>
      </c>
      <c r="B3" s="3">
        <f>SUMIFS(tbl_ventas[total revenue], tbl_ventas[date], "&gt;=" &amp; $B$10, tbl_ventas[date], "&lt;=" &amp; $B$11)</f>
        <v>10955.489999999996</v>
      </c>
    </row>
    <row r="4" spans="1:2" ht="30">
      <c r="A4" s="3" t="s">
        <v>17</v>
      </c>
      <c r="B4" s="3" t="str">
        <f>TD_Ventas!A2</f>
        <v>Computo</v>
      </c>
    </row>
    <row r="5" spans="1:2" ht="45">
      <c r="A5" s="3" t="s">
        <v>7</v>
      </c>
      <c r="B5" s="3" t="str">
        <f>INDEX(tbl_ventas[product], MATCH(MAX(tbl_ventas[quantity]), tbl_ventas[quantity], 0))</f>
        <v>Bluetooth Headphones</v>
      </c>
    </row>
    <row r="6" spans="1:2" ht="30">
      <c r="A6" s="3" t="s">
        <v>8</v>
      </c>
      <c r="B6" s="8">
        <f>IFERROR(B3 / COUNTIFS(tbl_ventas[date], "&gt;=" &amp; $B$10, tbl_ventas[date], "&lt;=" &amp; $B$11), 0)</f>
        <v>365.18299999999988</v>
      </c>
    </row>
    <row r="7" spans="1:2" ht="30">
      <c r="A7" s="3" t="s">
        <v>9</v>
      </c>
      <c r="B7" s="3">
        <f>SUM(tbl_ventas[inventory])</f>
        <v>373</v>
      </c>
    </row>
    <row r="8" spans="1:2" ht="45">
      <c r="A8" s="3" t="s">
        <v>10</v>
      </c>
      <c r="B8" s="3">
        <f>COUNTIF(tbl_ventas[inventory], "&lt;20")</f>
        <v>23</v>
      </c>
    </row>
    <row r="10" spans="1:2">
      <c r="A10" t="s">
        <v>11</v>
      </c>
      <c r="B10" s="1">
        <v>45658</v>
      </c>
    </row>
    <row r="11" spans="1:2">
      <c r="A11" t="s">
        <v>12</v>
      </c>
      <c r="B11" s="4">
        <v>45688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C3B5-E423-408B-88FE-F8C3E24A2F7E}">
  <dimension ref="A1:B46"/>
  <sheetViews>
    <sheetView zoomScale="87" zoomScaleNormal="87" workbookViewId="0">
      <selection activeCell="A4" sqref="A4"/>
    </sheetView>
  </sheetViews>
  <sheetFormatPr baseColWidth="10" defaultRowHeight="15"/>
  <cols>
    <col min="1" max="1" width="17.85546875" bestFit="1" customWidth="1"/>
    <col min="2" max="2" width="22.5703125" bestFit="1" customWidth="1"/>
    <col min="3" max="3" width="23.5703125" bestFit="1" customWidth="1"/>
  </cols>
  <sheetData>
    <row r="1" spans="1:2">
      <c r="B1" t="s">
        <v>15</v>
      </c>
    </row>
    <row r="2" spans="1:2">
      <c r="A2" s="6" t="s">
        <v>0</v>
      </c>
      <c r="B2">
        <v>9719.8199999999979</v>
      </c>
    </row>
    <row r="3" spans="1:2">
      <c r="A3" s="6" t="s">
        <v>26</v>
      </c>
      <c r="B3">
        <v>1235.67</v>
      </c>
    </row>
    <row r="4" spans="1:2">
      <c r="A4" s="6" t="s">
        <v>14</v>
      </c>
      <c r="B4">
        <v>10955.489999999998</v>
      </c>
    </row>
    <row r="10" spans="1:2">
      <c r="A10" s="5" t="s">
        <v>13</v>
      </c>
      <c r="B10" t="s">
        <v>15</v>
      </c>
    </row>
    <row r="11" spans="1:2">
      <c r="A11" s="7">
        <v>45658</v>
      </c>
      <c r="B11">
        <v>107.97</v>
      </c>
    </row>
    <row r="12" spans="1:2">
      <c r="A12" s="7">
        <v>45659</v>
      </c>
      <c r="B12">
        <v>619.96</v>
      </c>
    </row>
    <row r="13" spans="1:2">
      <c r="A13" s="7">
        <v>45660</v>
      </c>
      <c r="B13">
        <v>1525.98</v>
      </c>
    </row>
    <row r="14" spans="1:2">
      <c r="A14" s="7">
        <v>45661</v>
      </c>
      <c r="B14">
        <v>241.97000000000003</v>
      </c>
    </row>
    <row r="15" spans="1:2">
      <c r="A15" s="7">
        <v>45662</v>
      </c>
      <c r="B15">
        <v>439.97</v>
      </c>
    </row>
    <row r="16" spans="1:2">
      <c r="A16" s="7">
        <v>45663</v>
      </c>
      <c r="B16">
        <v>577.96</v>
      </c>
    </row>
    <row r="17" spans="1:2">
      <c r="A17" s="7">
        <v>45664</v>
      </c>
      <c r="B17">
        <v>1555.98</v>
      </c>
    </row>
    <row r="18" spans="1:2">
      <c r="A18" s="7">
        <v>45665</v>
      </c>
      <c r="B18">
        <v>419.94000000000005</v>
      </c>
    </row>
    <row r="19" spans="1:2">
      <c r="A19" s="7">
        <v>45666</v>
      </c>
      <c r="B19">
        <v>551.97</v>
      </c>
    </row>
    <row r="20" spans="1:2">
      <c r="A20" s="7">
        <v>45667</v>
      </c>
      <c r="B20">
        <v>1611.97</v>
      </c>
    </row>
    <row r="21" spans="1:2">
      <c r="A21" s="7">
        <v>45668</v>
      </c>
      <c r="B21">
        <v>329.98</v>
      </c>
    </row>
    <row r="22" spans="1:2">
      <c r="A22" s="7">
        <v>45669</v>
      </c>
      <c r="B22">
        <v>579.97</v>
      </c>
    </row>
    <row r="23" spans="1:2">
      <c r="A23" s="7">
        <v>45670</v>
      </c>
      <c r="B23">
        <v>107.97</v>
      </c>
    </row>
    <row r="24" spans="1:2">
      <c r="A24" s="7">
        <v>45671</v>
      </c>
      <c r="B24">
        <v>1603.95</v>
      </c>
    </row>
    <row r="25" spans="1:2">
      <c r="A25" s="7">
        <v>45672</v>
      </c>
      <c r="B25">
        <v>679.95</v>
      </c>
    </row>
    <row r="26" spans="1:2">
      <c r="A26" s="7" t="s">
        <v>14</v>
      </c>
      <c r="B26">
        <v>10955.490000000002</v>
      </c>
    </row>
    <row r="30" spans="1:2">
      <c r="A30" s="5" t="s">
        <v>13</v>
      </c>
      <c r="B30" t="s">
        <v>15</v>
      </c>
    </row>
    <row r="31" spans="1:2">
      <c r="A31" s="7">
        <v>45658</v>
      </c>
      <c r="B31">
        <v>107.97</v>
      </c>
    </row>
    <row r="32" spans="1:2">
      <c r="A32" s="7">
        <v>45659</v>
      </c>
      <c r="B32">
        <v>619.96</v>
      </c>
    </row>
    <row r="33" spans="1:2">
      <c r="A33" s="7">
        <v>45660</v>
      </c>
      <c r="B33">
        <v>1525.98</v>
      </c>
    </row>
    <row r="34" spans="1:2">
      <c r="A34" s="7">
        <v>45661</v>
      </c>
      <c r="B34">
        <v>241.97000000000003</v>
      </c>
    </row>
    <row r="35" spans="1:2">
      <c r="A35" s="7">
        <v>45662</v>
      </c>
      <c r="B35">
        <v>439.97</v>
      </c>
    </row>
    <row r="36" spans="1:2">
      <c r="A36" s="7">
        <v>45663</v>
      </c>
      <c r="B36">
        <v>577.96</v>
      </c>
    </row>
    <row r="37" spans="1:2">
      <c r="A37" s="7">
        <v>45664</v>
      </c>
      <c r="B37">
        <v>1555.98</v>
      </c>
    </row>
    <row r="38" spans="1:2">
      <c r="A38" s="7">
        <v>45665</v>
      </c>
      <c r="B38">
        <v>419.94000000000005</v>
      </c>
    </row>
    <row r="39" spans="1:2">
      <c r="A39" s="7">
        <v>45666</v>
      </c>
      <c r="B39">
        <v>551.97</v>
      </c>
    </row>
    <row r="40" spans="1:2">
      <c r="A40" s="7">
        <v>45667</v>
      </c>
      <c r="B40">
        <v>1611.97</v>
      </c>
    </row>
    <row r="41" spans="1:2">
      <c r="A41" s="7">
        <v>45668</v>
      </c>
      <c r="B41">
        <v>329.98</v>
      </c>
    </row>
    <row r="42" spans="1:2">
      <c r="A42" s="7">
        <v>45669</v>
      </c>
      <c r="B42">
        <v>579.97</v>
      </c>
    </row>
    <row r="43" spans="1:2">
      <c r="A43" s="7">
        <v>45670</v>
      </c>
      <c r="B43">
        <v>107.97</v>
      </c>
    </row>
    <row r="44" spans="1:2">
      <c r="A44" s="7">
        <v>45671</v>
      </c>
      <c r="B44">
        <v>1603.95</v>
      </c>
    </row>
    <row r="45" spans="1:2">
      <c r="A45" s="7">
        <v>45672</v>
      </c>
      <c r="B45">
        <v>679.95</v>
      </c>
    </row>
    <row r="46" spans="1:2">
      <c r="A46" s="7" t="s">
        <v>14</v>
      </c>
      <c r="B46">
        <v>10955.490000000002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D267-00F7-4D21-A1DF-F5E9AB625826}">
  <sheetPr>
    <pageSetUpPr fitToPage="1"/>
  </sheetPr>
  <dimension ref="A1:B22"/>
  <sheetViews>
    <sheetView topLeftCell="A13" zoomScale="106" zoomScaleNormal="106" workbookViewId="0">
      <selection activeCell="A4" sqref="A4"/>
    </sheetView>
  </sheetViews>
  <sheetFormatPr baseColWidth="10" defaultRowHeight="15"/>
  <cols>
    <col min="1" max="1" width="29.85546875" customWidth="1"/>
    <col min="2" max="2" width="18.28515625" customWidth="1"/>
  </cols>
  <sheetData>
    <row r="1" spans="1:2" ht="34.5">
      <c r="A1" s="9" t="s">
        <v>16</v>
      </c>
    </row>
    <row r="3" spans="1:2" ht="15.75">
      <c r="A3" s="10" t="s">
        <v>4</v>
      </c>
      <c r="B3" s="3"/>
    </row>
    <row r="4" spans="1:2">
      <c r="A4" s="3" t="s">
        <v>5</v>
      </c>
      <c r="B4" s="13">
        <f>KPIs!B3</f>
        <v>10955.489999999996</v>
      </c>
    </row>
    <row r="5" spans="1:2">
      <c r="A5" s="3" t="s">
        <v>6</v>
      </c>
      <c r="B5" s="11" t="str">
        <f>KPIs!B4</f>
        <v>Computo</v>
      </c>
    </row>
    <row r="6" spans="1:2" ht="30">
      <c r="A6" s="3" t="s">
        <v>19</v>
      </c>
      <c r="B6" s="11" t="str">
        <f>SUBSTITUTE(KPIs!B5,"AudÃ­fonos","Audífonos")</f>
        <v>Bluetooth Headphones</v>
      </c>
    </row>
    <row r="7" spans="1:2">
      <c r="A7" s="3" t="s">
        <v>8</v>
      </c>
      <c r="B7" s="13">
        <f>KPIs!B6</f>
        <v>365.18299999999988</v>
      </c>
    </row>
    <row r="8" spans="1:2">
      <c r="A8" s="3" t="s">
        <v>9</v>
      </c>
      <c r="B8" s="12">
        <f>KPIs!B7</f>
        <v>373</v>
      </c>
    </row>
    <row r="9" spans="1:2">
      <c r="A9" s="3" t="s">
        <v>10</v>
      </c>
      <c r="B9" s="12">
        <f>KPIs!B8</f>
        <v>23</v>
      </c>
    </row>
    <row r="13" spans="1:2">
      <c r="B13" s="14">
        <f>B4</f>
        <v>10955.489999999996</v>
      </c>
    </row>
    <row r="14" spans="1:2" ht="14.25" customHeight="1">
      <c r="B14" s="14"/>
    </row>
    <row r="15" spans="1:2">
      <c r="B15" t="str">
        <f>B5</f>
        <v>Computo</v>
      </c>
    </row>
    <row r="16" spans="1:2">
      <c r="B16" s="6"/>
    </row>
    <row r="17" spans="2:2">
      <c r="B17" t="str">
        <f>B6</f>
        <v>Bluetooth Headphones</v>
      </c>
    </row>
    <row r="19" spans="2:2">
      <c r="B19" s="14">
        <f>B7</f>
        <v>365.18299999999988</v>
      </c>
    </row>
    <row r="20" spans="2:2">
      <c r="B20" s="6">
        <f>B8</f>
        <v>373</v>
      </c>
    </row>
    <row r="22" spans="2:2">
      <c r="B22" s="6">
        <f>B9</f>
        <v>23</v>
      </c>
    </row>
  </sheetData>
  <phoneticPr fontId="19" type="noConversion"/>
  <pageMargins left="0.70866141732283472" right="0" top="0.74803149606299213" bottom="0.74803149606299213" header="0.31496062992125984" footer="0.31496062992125984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 (2)</vt:lpstr>
      <vt:lpstr>ventas_dataset_nuevo</vt:lpstr>
      <vt:lpstr>KPIs</vt:lpstr>
      <vt:lpstr>TD_Ventas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batiz</dc:creator>
  <cp:lastModifiedBy>batizia2@gmail.com</cp:lastModifiedBy>
  <cp:lastPrinted>2025-12-10T20:31:44Z</cp:lastPrinted>
  <dcterms:created xsi:type="dcterms:W3CDTF">2025-12-03T19:09:09Z</dcterms:created>
  <dcterms:modified xsi:type="dcterms:W3CDTF">2026-01-28T16:57:38Z</dcterms:modified>
</cp:coreProperties>
</file>