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iz\Downloads\Proyecto_SEO_Final\"/>
    </mc:Choice>
  </mc:AlternateContent>
  <xr:revisionPtr revIDLastSave="0" documentId="8_{29ECB45E-13C7-440D-A5FC-FBA388E2DF79}" xr6:coauthVersionLast="47" xr6:coauthVersionMax="47" xr10:uidLastSave="{00000000-0000-0000-0000-000000000000}"/>
  <bookViews>
    <workbookView xWindow="-120" yWindow="-120" windowWidth="20640" windowHeight="11160" firstSheet="1" activeTab="3" xr2:uid="{2A89BE19-1018-48BE-92D5-54A54393D0AC}"/>
  </bookViews>
  <sheets>
    <sheet name="Dashboard_EN" sheetId="5" r:id="rId1"/>
    <sheet name="dataset_clean" sheetId="6" r:id="rId2"/>
    <sheet name="ventas_dataset_nuevo" sheetId="1" r:id="rId3"/>
    <sheet name="KPIs" sheetId="2" r:id="rId4"/>
    <sheet name="TD_Ventas" sheetId="3" r:id="rId5"/>
    <sheet name="Dashboard_ES" sheetId="4" r:id="rId6"/>
  </sheets>
  <definedNames>
    <definedName name="DatosExternos_1" localSheetId="1" hidden="1">dataset_clean!$A$1:$I$31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B6" i="4"/>
  <c r="B17" i="4" s="1"/>
  <c r="B18" i="2"/>
  <c r="B17" i="2"/>
  <c r="B16" i="2"/>
  <c r="B15" i="2"/>
  <c r="B14" i="2"/>
  <c r="B13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B6" i="2"/>
  <c r="B3" i="2"/>
  <c r="D9" i="5"/>
  <c r="D8" i="5"/>
  <c r="D7" i="5"/>
  <c r="D4" i="5"/>
  <c r="H28" i="1"/>
  <c r="H27" i="1"/>
  <c r="H26" i="1"/>
  <c r="H13" i="1"/>
  <c r="H12" i="1"/>
  <c r="H11" i="1"/>
  <c r="H10" i="1"/>
  <c r="G2" i="1"/>
  <c r="H2" i="1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G11" i="1"/>
  <c r="G12" i="1"/>
  <c r="G13" i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G27" i="1"/>
  <c r="G28" i="1"/>
  <c r="G29" i="1"/>
  <c r="H29" i="1" s="1"/>
  <c r="G30" i="1"/>
  <c r="H30" i="1" s="1"/>
  <c r="G31" i="1"/>
  <c r="H31" i="1" s="1"/>
  <c r="B5" i="4"/>
  <c r="B15" i="4" s="1"/>
  <c r="B8" i="2"/>
  <c r="B9" i="4" s="1"/>
  <c r="B22" i="4" s="1"/>
  <c r="B7" i="2"/>
  <c r="B8" i="4" s="1"/>
  <c r="B20" i="4" s="1"/>
  <c r="B7" i="4" l="1"/>
  <c r="B19" i="4" s="1"/>
  <c r="D13" i="5"/>
  <c r="D14" i="5"/>
  <c r="D12" i="5"/>
  <c r="B4" i="4"/>
  <c r="B13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998135-5F0F-4B08-8191-5F2D8BC55956}" keepAlive="1" name="Consulta - tbl_ventas" description="Conexión a la consulta 'tbl_ventas' en el libro." type="5" refreshedVersion="8" background="1" saveData="1">
    <dbPr connection="Provider=Microsoft.Mashup.OleDb.1;Data Source=$Workbook$;Location=tbl_ventas;Extended Properties=&quot;&quot;" command="SELECT * FROM [tbl_ventas]"/>
  </connection>
</connections>
</file>

<file path=xl/sharedStrings.xml><?xml version="1.0" encoding="utf-8"?>
<sst xmlns="http://schemas.openxmlformats.org/spreadsheetml/2006/main" count="187" uniqueCount="57">
  <si>
    <t>Laptop Gamer</t>
  </si>
  <si>
    <t>A</t>
  </si>
  <si>
    <t>B</t>
  </si>
  <si>
    <t>KPI</t>
  </si>
  <si>
    <t>Ventas Totales</t>
  </si>
  <si>
    <t>Ventas por Categoría</t>
  </si>
  <si>
    <t>Ticket Promedio</t>
  </si>
  <si>
    <t>Inventario Total</t>
  </si>
  <si>
    <t>Inventario Crítico (&lt;20)</t>
  </si>
  <si>
    <t>Dashboard de Ventas – Enero 2025</t>
  </si>
  <si>
    <t>Producto más vendido</t>
  </si>
  <si>
    <t>Gaming Mouse</t>
  </si>
  <si>
    <t>Mechanical Keyboard</t>
  </si>
  <si>
    <t>Bluetooth Headphones</t>
  </si>
  <si>
    <t>Basic Laptop</t>
  </si>
  <si>
    <t>24" Monitor</t>
  </si>
  <si>
    <t>10" Tablet</t>
  </si>
  <si>
    <t>date</t>
  </si>
  <si>
    <t>product</t>
  </si>
  <si>
    <t>Electronics</t>
  </si>
  <si>
    <t>category</t>
  </si>
  <si>
    <t>price</t>
  </si>
  <si>
    <t>quantity</t>
  </si>
  <si>
    <t>inventory</t>
  </si>
  <si>
    <t>revenue</t>
  </si>
  <si>
    <t>profit</t>
  </si>
  <si>
    <t>margin_pct</t>
  </si>
  <si>
    <t>Key Insights &amp; Actions — January 2025</t>
  </si>
  <si>
    <t>Total Revenue</t>
  </si>
  <si>
    <t>Best-Selling Product</t>
  </si>
  <si>
    <t>Average Ticket</t>
  </si>
  <si>
    <t>Total Inventory</t>
  </si>
  <si>
    <t>Critical Inventory</t>
  </si>
  <si>
    <t>Quick Summary</t>
  </si>
  <si>
    <t>Leading Category</t>
  </si>
  <si>
    <t>Critical SKUs (&lt;20)</t>
  </si>
  <si>
    <t>Computers</t>
  </si>
  <si>
    <t>Headphones</t>
  </si>
  <si>
    <t>• Computers lead total sales and should be prioritized in stock and bundles.</t>
  </si>
  <si>
    <t>• Headphones show strong cross-sell potential with laptops.</t>
  </si>
  <si>
    <t>• 23 SKUs are below critical inventory levels and require urgent restocking.</t>
  </si>
  <si>
    <t>Revenue &amp; Profitability Dashboard — January 2025</t>
  </si>
  <si>
    <t>Daily Revenue</t>
  </si>
  <si>
    <t>Critical Inventory (&lt;20)</t>
  </si>
  <si>
    <t>From Date</t>
  </si>
  <si>
    <t>To Date</t>
  </si>
  <si>
    <t>Date</t>
  </si>
  <si>
    <t>Grand Total</t>
  </si>
  <si>
    <t>ELECTRONICS</t>
  </si>
  <si>
    <t>COMPUTERS</t>
  </si>
  <si>
    <t xml:space="preserve"> </t>
  </si>
  <si>
    <t>Revenue Electronics</t>
  </si>
  <si>
    <t>Revenue Computers</t>
  </si>
  <si>
    <t>Profit Electronics</t>
  </si>
  <si>
    <t>Profit Computers</t>
  </si>
  <si>
    <t>Margin Electronics</t>
  </si>
  <si>
    <t>Margin Computers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</si>
</sst>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&quot;$&quot;#,##0.00"/>
    <numFmt numFmtId="166" formatCode="0.0%"/>
    <numFmt numFmtId="167" formatCode="&quot;$&quot;#,##0.0"/>
  </numFmts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  <font>
      <b/>
      <sz val="26"/>
      <color theme="1"/>
      <name val="Aptos"/>
      <family val="2"/>
    </font>
    <font>
      <b/>
      <sz val="12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0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0" fillId="0" borderId="0" xfId="0" applyFont="1"/>
    <xf numFmtId="0" fontId="21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164" fontId="16" fillId="0" borderId="0" xfId="0" applyNumberFormat="1" applyFont="1" applyAlignment="1">
      <alignment horizontal="left" vertical="center"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vertical="center" readingOrder="1"/>
    </xf>
    <xf numFmtId="0" fontId="22" fillId="0" borderId="0" xfId="0" applyFont="1" applyAlignment="1">
      <alignment horizontal="left" vertical="center" readingOrder="1"/>
    </xf>
    <xf numFmtId="0" fontId="23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26" fillId="0" borderId="0" xfId="0" applyFont="1" applyAlignment="1">
      <alignment vertical="center" wrapText="1"/>
    </xf>
    <xf numFmtId="164" fontId="26" fillId="0" borderId="0" xfId="0" applyNumberFormat="1" applyFont="1" applyAlignment="1">
      <alignment horizontal="right" vertical="center" wrapText="1"/>
    </xf>
    <xf numFmtId="0" fontId="26" fillId="0" borderId="0" xfId="0" applyFont="1" applyAlignment="1">
      <alignment horizontal="right" vertical="center" wrapText="1"/>
    </xf>
    <xf numFmtId="164" fontId="26" fillId="0" borderId="0" xfId="0" applyNumberFormat="1" applyFont="1" applyAlignment="1">
      <alignment horizontal="right"/>
    </xf>
    <xf numFmtId="0" fontId="26" fillId="0" borderId="0" xfId="0" applyFont="1" applyAlignment="1">
      <alignment horizontal="right"/>
    </xf>
    <xf numFmtId="0" fontId="26" fillId="0" borderId="0" xfId="0" applyFont="1" applyAlignment="1">
      <alignment horizontal="left" vertical="center" readingOrder="1"/>
    </xf>
    <xf numFmtId="0" fontId="27" fillId="0" borderId="0" xfId="0" applyFont="1" applyAlignment="1">
      <alignment horizontal="left" vertical="center" readingOrder="1"/>
    </xf>
    <xf numFmtId="0" fontId="25" fillId="0" borderId="0" xfId="0" applyFont="1" applyAlignment="1">
      <alignment vertical="center" wrapText="1"/>
    </xf>
    <xf numFmtId="1" fontId="0" fillId="0" borderId="0" xfId="0" applyNumberFormat="1"/>
    <xf numFmtId="0" fontId="24" fillId="0" borderId="0" xfId="0" applyFont="1"/>
    <xf numFmtId="165" fontId="0" fillId="0" borderId="0" xfId="0" applyNumberFormat="1" applyAlignment="1">
      <alignment vertical="center" wrapText="1"/>
    </xf>
    <xf numFmtId="14" fontId="18" fillId="0" borderId="0" xfId="0" applyNumberFormat="1" applyFont="1" applyAlignment="1">
      <alignment horizontal="left"/>
    </xf>
    <xf numFmtId="0" fontId="0" fillId="0" borderId="0" xfId="0" applyAlignment="1">
      <alignment horizontal="left" vertical="center"/>
    </xf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164" fontId="0" fillId="0" borderId="0" xfId="0" applyNumberFormat="1" applyAlignment="1">
      <alignment wrapText="1"/>
    </xf>
    <xf numFmtId="164" fontId="0" fillId="0" borderId="0" xfId="0" applyNumberFormat="1"/>
    <xf numFmtId="0" fontId="0" fillId="0" borderId="0" xfId="0" applyAlignment="1"/>
    <xf numFmtId="0" fontId="0" fillId="0" borderId="0" xfId="0" applyAlignment="1">
      <alignment horizontal="center" vertical="top"/>
    </xf>
    <xf numFmtId="167" fontId="0" fillId="0" borderId="0" xfId="0" applyNumberFormat="1" applyAlignment="1">
      <alignment vertical="top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2">
    <dxf>
      <numFmt numFmtId="166" formatCode="0.0%"/>
    </dxf>
    <dxf>
      <numFmt numFmtId="0" formatCode="General"/>
    </dxf>
    <dxf>
      <numFmt numFmtId="0" formatCode="General"/>
    </dxf>
    <dxf>
      <numFmt numFmtId="19" formatCode="dd/mm/yyyy"/>
    </dxf>
    <dxf>
      <numFmt numFmtId="166" formatCode="0.0%"/>
    </dxf>
    <dxf>
      <numFmt numFmtId="165" formatCode="&quot;$&quot;#,##0.00"/>
    </dxf>
    <dxf>
      <numFmt numFmtId="165" formatCode="&quot;$&quot;#,##0.00"/>
    </dxf>
    <dxf>
      <numFmt numFmtId="2" formatCode="0.00"/>
    </dxf>
    <dxf>
      <numFmt numFmtId="167" formatCode="&quot;$&quot;#,##0.0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Daily Sales — January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291426071741032"/>
          <c:y val="0.25865522018081066"/>
          <c:w val="0.72429352580927386"/>
          <c:h val="0.41515675123942841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5"/>
              <c:pt idx="0">
                <c:v>01/01/2025</c:v>
              </c:pt>
              <c:pt idx="1">
                <c:v>02/01/2025</c:v>
              </c:pt>
              <c:pt idx="2">
                <c:v>03/01/2025</c:v>
              </c:pt>
              <c:pt idx="3">
                <c:v>04/01/2025</c:v>
              </c:pt>
              <c:pt idx="4">
                <c:v>05/01/2025</c:v>
              </c:pt>
              <c:pt idx="5">
                <c:v>06/01/2025</c:v>
              </c:pt>
              <c:pt idx="6">
                <c:v>07/01/2025</c:v>
              </c:pt>
              <c:pt idx="7">
                <c:v>08/01/2025</c:v>
              </c:pt>
              <c:pt idx="8">
                <c:v>09/01/2025</c:v>
              </c:pt>
              <c:pt idx="9">
                <c:v>10/01/2025</c:v>
              </c:pt>
              <c:pt idx="10">
                <c:v>11/01/2025</c:v>
              </c:pt>
              <c:pt idx="11">
                <c:v>12/01/2025</c:v>
              </c:pt>
              <c:pt idx="12">
                <c:v>13/01/2025</c:v>
              </c:pt>
              <c:pt idx="13">
                <c:v>14/01/2025</c:v>
              </c:pt>
              <c:pt idx="14">
                <c:v>15/01/2025</c:v>
              </c:pt>
            </c:strLit>
          </c:cat>
          <c:val>
            <c:numLit>
              <c:formatCode>General</c:formatCode>
              <c:ptCount val="15"/>
              <c:pt idx="0">
                <c:v>107.97</c:v>
              </c:pt>
              <c:pt idx="1">
                <c:v>619.96</c:v>
              </c:pt>
              <c:pt idx="2">
                <c:v>1525.98</c:v>
              </c:pt>
              <c:pt idx="3">
                <c:v>241.97000000000003</c:v>
              </c:pt>
              <c:pt idx="4">
                <c:v>439.97</c:v>
              </c:pt>
              <c:pt idx="5">
                <c:v>577.96</c:v>
              </c:pt>
              <c:pt idx="6">
                <c:v>1555.98</c:v>
              </c:pt>
              <c:pt idx="7">
                <c:v>419.94000000000005</c:v>
              </c:pt>
              <c:pt idx="8">
                <c:v>551.97</c:v>
              </c:pt>
              <c:pt idx="9">
                <c:v>1611.97</c:v>
              </c:pt>
              <c:pt idx="10">
                <c:v>329.98</c:v>
              </c:pt>
              <c:pt idx="11">
                <c:v>579.97</c:v>
              </c:pt>
              <c:pt idx="12">
                <c:v>107.97</c:v>
              </c:pt>
              <c:pt idx="13">
                <c:v>1603.95</c:v>
              </c:pt>
              <c:pt idx="14">
                <c:v>679.95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1BC-412A-A94B-48ABD5B46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3694031"/>
        <c:axId val="1463694991"/>
      </c:lineChart>
      <c:catAx>
        <c:axId val="146369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3694991"/>
        <c:crosses val="autoZero"/>
        <c:auto val="1"/>
        <c:lblAlgn val="ctr"/>
        <c:lblOffset val="100"/>
        <c:tickLblSkip val="2"/>
        <c:noMultiLvlLbl val="0"/>
      </c:catAx>
      <c:valAx>
        <c:axId val="146369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369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Ventas por categoría – Enero 2025</a:t>
            </a:r>
          </a:p>
          <a:p>
            <a:pPr>
              <a:defRPr b="1"/>
            </a:pPr>
            <a:endParaRPr lang="en-US" b="1"/>
          </a:p>
        </c:rich>
      </c:tx>
      <c:layout>
        <c:manualLayout>
          <c:xMode val="edge"/>
          <c:yMode val="edge"/>
          <c:x val="0.2833027409305706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231626321160746"/>
          <c:y val="0.16245392258590685"/>
          <c:w val="0.75499759405074363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2"/>
              <c:pt idx="0">
                <c:v>1</c:v>
              </c:pt>
              <c:pt idx="1">
                <c:v>2</c:v>
              </c:pt>
            </c:numLit>
          </c:cat>
          <c:val>
            <c:numLit>
              <c:formatCode>General</c:formatCode>
              <c:ptCount val="2"/>
              <c:pt idx="0">
                <c:v>9719.8199999999979</c:v>
              </c:pt>
              <c:pt idx="1">
                <c:v>1235.67</c:v>
              </c:pt>
            </c:numLit>
          </c:val>
          <c:extLst>
            <c:ext xmlns:c16="http://schemas.microsoft.com/office/drawing/2014/chart" uri="{C3380CC4-5D6E-409C-BE32-E72D297353CC}">
              <c16:uniqueId val="{00000000-ADF2-44DC-9F7E-EA66668C88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6613887"/>
        <c:axId val="306615327"/>
      </c:barChart>
      <c:catAx>
        <c:axId val="306613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06615327"/>
        <c:crossesAt val="0"/>
        <c:auto val="1"/>
        <c:lblAlgn val="ctr"/>
        <c:lblOffset val="100"/>
        <c:noMultiLvlLbl val="0"/>
      </c:catAx>
      <c:valAx>
        <c:axId val="30661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0661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alpha val="86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1" i="0" u="none" strike="noStrike" baseline="0"/>
              <a:t>Daily Sales — January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291426071741032"/>
          <c:y val="0.25865522018081066"/>
          <c:w val="0.72429352580927386"/>
          <c:h val="0.41515675123942841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5"/>
              <c:pt idx="0">
                <c:v>01/01/2025</c:v>
              </c:pt>
              <c:pt idx="1">
                <c:v>02/01/2025</c:v>
              </c:pt>
              <c:pt idx="2">
                <c:v>03/01/2025</c:v>
              </c:pt>
              <c:pt idx="3">
                <c:v>04/01/2025</c:v>
              </c:pt>
              <c:pt idx="4">
                <c:v>05/01/2025</c:v>
              </c:pt>
              <c:pt idx="5">
                <c:v>06/01/2025</c:v>
              </c:pt>
              <c:pt idx="6">
                <c:v>07/01/2025</c:v>
              </c:pt>
              <c:pt idx="7">
                <c:v>08/01/2025</c:v>
              </c:pt>
              <c:pt idx="8">
                <c:v>09/01/2025</c:v>
              </c:pt>
              <c:pt idx="9">
                <c:v>10/01/2025</c:v>
              </c:pt>
              <c:pt idx="10">
                <c:v>11/01/2025</c:v>
              </c:pt>
              <c:pt idx="11">
                <c:v>12/01/2025</c:v>
              </c:pt>
              <c:pt idx="12">
                <c:v>13/01/2025</c:v>
              </c:pt>
              <c:pt idx="13">
                <c:v>14/01/2025</c:v>
              </c:pt>
              <c:pt idx="14">
                <c:v>15/01/2025</c:v>
              </c:pt>
            </c:strLit>
          </c:cat>
          <c:val>
            <c:numLit>
              <c:formatCode>General</c:formatCode>
              <c:ptCount val="15"/>
              <c:pt idx="0">
                <c:v>107.97</c:v>
              </c:pt>
              <c:pt idx="1">
                <c:v>619.96</c:v>
              </c:pt>
              <c:pt idx="2">
                <c:v>1525.98</c:v>
              </c:pt>
              <c:pt idx="3">
                <c:v>241.97000000000003</c:v>
              </c:pt>
              <c:pt idx="4">
                <c:v>439.97</c:v>
              </c:pt>
              <c:pt idx="5">
                <c:v>577.96</c:v>
              </c:pt>
              <c:pt idx="6">
                <c:v>1555.98</c:v>
              </c:pt>
              <c:pt idx="7">
                <c:v>419.94000000000005</c:v>
              </c:pt>
              <c:pt idx="8">
                <c:v>551.97</c:v>
              </c:pt>
              <c:pt idx="9">
                <c:v>1611.97</c:v>
              </c:pt>
              <c:pt idx="10">
                <c:v>329.98</c:v>
              </c:pt>
              <c:pt idx="11">
                <c:v>579.97</c:v>
              </c:pt>
              <c:pt idx="12">
                <c:v>107.97</c:v>
              </c:pt>
              <c:pt idx="13">
                <c:v>1603.95</c:v>
              </c:pt>
              <c:pt idx="14">
                <c:v>679.95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DD6-40F5-97E8-CB375E9CF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3694031"/>
        <c:axId val="1463694991"/>
      </c:lineChart>
      <c:catAx>
        <c:axId val="146369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3694991"/>
        <c:crosses val="autoZero"/>
        <c:auto val="1"/>
        <c:lblAlgn val="ctr"/>
        <c:lblOffset val="100"/>
        <c:noMultiLvlLbl val="0"/>
      </c:catAx>
      <c:valAx>
        <c:axId val="146369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369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/>
              <a:t>Sales by Category — January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24759405074367"/>
          <c:y val="0.16245370370370371"/>
          <c:w val="0.75499759405074363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Computo</c:v>
              </c:pt>
              <c:pt idx="1">
                <c:v>Electrónica.</c:v>
              </c:pt>
            </c:strLit>
          </c:cat>
          <c:val>
            <c:numLit>
              <c:formatCode>General</c:formatCode>
              <c:ptCount val="2"/>
              <c:pt idx="0">
                <c:v>9719.8199999999979</c:v>
              </c:pt>
              <c:pt idx="1">
                <c:v>1235.67</c:v>
              </c:pt>
            </c:numLit>
          </c:val>
          <c:extLst>
            <c:ext xmlns:c16="http://schemas.microsoft.com/office/drawing/2014/chart" uri="{C3380CC4-5D6E-409C-BE32-E72D297353CC}">
              <c16:uniqueId val="{00000000-4AAD-4E11-97C5-FD28BA8C7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6613887"/>
        <c:axId val="306615327"/>
      </c:barChart>
      <c:catAx>
        <c:axId val="3066138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6615327"/>
        <c:crosses val="autoZero"/>
        <c:auto val="1"/>
        <c:lblAlgn val="ctr"/>
        <c:lblOffset val="100"/>
        <c:noMultiLvlLbl val="0"/>
      </c:catAx>
      <c:valAx>
        <c:axId val="3066153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0661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Ventas diarias – Enero 2025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291426071741032"/>
          <c:y val="0.25865522018081066"/>
          <c:w val="0.72429352580927386"/>
          <c:h val="0.41515675123942841"/>
        </c:manualLayout>
      </c:layout>
      <c:lineChart>
        <c:grouping val="standard"/>
        <c:varyColors val="0"/>
        <c:ser>
          <c:idx val="0"/>
          <c:order val="0"/>
          <c:tx>
            <c:v>Series1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5"/>
              <c:pt idx="0">
                <c:v>01/01/2025</c:v>
              </c:pt>
              <c:pt idx="1">
                <c:v>02/01/2025</c:v>
              </c:pt>
              <c:pt idx="2">
                <c:v>03/01/2025</c:v>
              </c:pt>
              <c:pt idx="3">
                <c:v>04/01/2025</c:v>
              </c:pt>
              <c:pt idx="4">
                <c:v>05/01/2025</c:v>
              </c:pt>
              <c:pt idx="5">
                <c:v>06/01/2025</c:v>
              </c:pt>
              <c:pt idx="6">
                <c:v>07/01/2025</c:v>
              </c:pt>
              <c:pt idx="7">
                <c:v>08/01/2025</c:v>
              </c:pt>
              <c:pt idx="8">
                <c:v>09/01/2025</c:v>
              </c:pt>
              <c:pt idx="9">
                <c:v>10/01/2025</c:v>
              </c:pt>
              <c:pt idx="10">
                <c:v>11/01/2025</c:v>
              </c:pt>
              <c:pt idx="11">
                <c:v>12/01/2025</c:v>
              </c:pt>
              <c:pt idx="12">
                <c:v>13/01/2025</c:v>
              </c:pt>
              <c:pt idx="13">
                <c:v>14/01/2025</c:v>
              </c:pt>
              <c:pt idx="14">
                <c:v>15/01/2025</c:v>
              </c:pt>
            </c:strLit>
          </c:cat>
          <c:val>
            <c:numLit>
              <c:formatCode>General</c:formatCode>
              <c:ptCount val="15"/>
              <c:pt idx="0">
                <c:v>107.97</c:v>
              </c:pt>
              <c:pt idx="1">
                <c:v>619.96</c:v>
              </c:pt>
              <c:pt idx="2">
                <c:v>1525.98</c:v>
              </c:pt>
              <c:pt idx="3">
                <c:v>241.97000000000003</c:v>
              </c:pt>
              <c:pt idx="4">
                <c:v>439.97</c:v>
              </c:pt>
              <c:pt idx="5">
                <c:v>577.96</c:v>
              </c:pt>
              <c:pt idx="6">
                <c:v>1555.98</c:v>
              </c:pt>
              <c:pt idx="7">
                <c:v>419.94000000000005</c:v>
              </c:pt>
              <c:pt idx="8">
                <c:v>551.97</c:v>
              </c:pt>
              <c:pt idx="9">
                <c:v>1611.97</c:v>
              </c:pt>
              <c:pt idx="10">
                <c:v>329.98</c:v>
              </c:pt>
              <c:pt idx="11">
                <c:v>579.97</c:v>
              </c:pt>
              <c:pt idx="12">
                <c:v>107.97</c:v>
              </c:pt>
              <c:pt idx="13">
                <c:v>1603.95</c:v>
              </c:pt>
              <c:pt idx="14">
                <c:v>679.95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BF6-4405-B090-350B1A698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3694031"/>
        <c:axId val="1463694991"/>
      </c:lineChart>
      <c:catAx>
        <c:axId val="146369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3694991"/>
        <c:crosses val="autoZero"/>
        <c:auto val="1"/>
        <c:lblAlgn val="ctr"/>
        <c:lblOffset val="100"/>
        <c:tickLblSkip val="2"/>
        <c:noMultiLvlLbl val="0"/>
      </c:catAx>
      <c:valAx>
        <c:axId val="146369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369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Ventas por categoría – Enero 2025</a:t>
            </a:r>
          </a:p>
          <a:p>
            <a:pPr>
              <a:defRPr b="1"/>
            </a:pP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24759405074367"/>
          <c:y val="0.16245370370370371"/>
          <c:w val="0.75499759405074363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Computo</c:v>
              </c:pt>
              <c:pt idx="1">
                <c:v>Electrónica.</c:v>
              </c:pt>
            </c:strLit>
          </c:cat>
          <c:val>
            <c:numLit>
              <c:formatCode>General</c:formatCode>
              <c:ptCount val="2"/>
              <c:pt idx="0">
                <c:v>9719.8199999999979</c:v>
              </c:pt>
              <c:pt idx="1">
                <c:v>1235.67</c:v>
              </c:pt>
            </c:numLit>
          </c:val>
          <c:extLst>
            <c:ext xmlns:c16="http://schemas.microsoft.com/office/drawing/2014/chart" uri="{C3380CC4-5D6E-409C-BE32-E72D297353CC}">
              <c16:uniqueId val="{00000000-E2AB-44DE-B96E-72D59D5BF2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6613887"/>
        <c:axId val="306615327"/>
      </c:barChart>
      <c:catAx>
        <c:axId val="306613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06615327"/>
        <c:crossesAt val="0"/>
        <c:auto val="1"/>
        <c:lblAlgn val="ctr"/>
        <c:lblOffset val="100"/>
        <c:noMultiLvlLbl val="0"/>
      </c:catAx>
      <c:valAx>
        <c:axId val="30661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0661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alpha val="86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469900</xdr:colOff>
      <xdr:row>3</xdr:row>
      <xdr:rowOff>35278</xdr:rowOff>
    </xdr:from>
    <xdr:to>
      <xdr:col>13</xdr:col>
      <xdr:colOff>740834</xdr:colOff>
      <xdr:row>19</xdr:row>
      <xdr:rowOff>177800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1758EFB-A4A6-4F35-BC01-3D4924B001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724385</xdr:colOff>
      <xdr:row>27</xdr:row>
      <xdr:rowOff>1270</xdr:rowOff>
    </xdr:from>
    <xdr:to>
      <xdr:col>14</xdr:col>
      <xdr:colOff>17639</xdr:colOff>
      <xdr:row>45</xdr:row>
      <xdr:rowOff>17640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BAE567A-5674-49C5-9044-BDDE66BD37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11</xdr:col>
      <xdr:colOff>0</xdr:colOff>
      <xdr:row>1</xdr:row>
      <xdr:rowOff>57150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29EADCE6-A581-4017-9D50-F6CDF20A8E93}"/>
            </a:ext>
          </a:extLst>
        </xdr:cNvPr>
        <xdr:cNvSpPr txBox="1"/>
      </xdr:nvSpPr>
      <xdr:spPr>
        <a:xfrm>
          <a:off x="8543925" y="49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232104</xdr:colOff>
      <xdr:row>5</xdr:row>
      <xdr:rowOff>144733</xdr:rowOff>
    </xdr:from>
    <xdr:to>
      <xdr:col>10</xdr:col>
      <xdr:colOff>120433</xdr:colOff>
      <xdr:row>23</xdr:row>
      <xdr:rowOff>153273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4AAFE7C-00B3-3988-5AE8-F9CE77C751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175173</xdr:colOff>
      <xdr:row>4</xdr:row>
      <xdr:rowOff>144735</xdr:rowOff>
    </xdr:from>
    <xdr:to>
      <xdr:col>17</xdr:col>
      <xdr:colOff>547414</xdr:colOff>
      <xdr:row>22</xdr:row>
      <xdr:rowOff>153275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53ABE25-92E7-E262-0AEA-C1E0595D4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180348</xdr:colOff>
      <xdr:row>4</xdr:row>
      <xdr:rowOff>76861</xdr:rowOff>
    </xdr:from>
    <xdr:to>
      <xdr:col>8</xdr:col>
      <xdr:colOff>495928</xdr:colOff>
      <xdr:row>8</xdr:row>
      <xdr:rowOff>475589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5051CBB-D76D-4CB2-8D8C-12EE232A49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163347</xdr:colOff>
      <xdr:row>10</xdr:row>
      <xdr:rowOff>9525</xdr:rowOff>
    </xdr:from>
    <xdr:to>
      <xdr:col>8</xdr:col>
      <xdr:colOff>485775</xdr:colOff>
      <xdr:row>20</xdr:row>
      <xdr:rowOff>112930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34884F6-5B73-474D-920A-D65C8ABC83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9</xdr:col>
      <xdr:colOff>0</xdr:colOff>
      <xdr:row>1</xdr:row>
      <xdr:rowOff>57150</xdr:rowOff>
    </xdr:from>
    <xdr:ext cx="18473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774A1959-814D-95B8-8AE5-7789623CCFF9}"/>
            </a:ext>
          </a:extLst>
        </xdr:cNvPr>
        <xdr:cNvSpPr txBox="1"/>
      </xdr:nvSpPr>
      <xdr:spPr>
        <a:xfrm>
          <a:off x="10487025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0</xdr:colOff>
      <xdr:row>9</xdr:row>
      <xdr:rowOff>161925</xdr:rowOff>
    </xdr:from>
    <xdr:ext cx="2057758" cy="2941831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452EAECE-6B3C-634D-5F6F-BD5C3A855DE3}"/>
            </a:ext>
          </a:extLst>
        </xdr:cNvPr>
        <xdr:cNvSpPr txBox="1"/>
      </xdr:nvSpPr>
      <xdr:spPr>
        <a:xfrm>
          <a:off x="0" y="3262043"/>
          <a:ext cx="2057758" cy="29418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400" b="1"/>
            <a:t>Mini resumen – Ene 2025</a:t>
          </a:r>
        </a:p>
        <a:p>
          <a:endParaRPr lang="es-MX" sz="1400" b="1"/>
        </a:p>
        <a:p>
          <a:pPr>
            <a:buFontTx/>
            <a:buNone/>
          </a:pPr>
          <a:r>
            <a:rPr lang="es-MX"/>
            <a:t>Ventas totales:</a:t>
          </a:r>
        </a:p>
        <a:p>
          <a:pPr marL="0" indent="0" algn="l">
            <a:buFontTx/>
            <a:buNone/>
          </a:pPr>
          <a:endParaRPr lang="es-MX"/>
        </a:p>
        <a:p>
          <a:pPr marL="0" indent="0" algn="l">
            <a:buFontTx/>
            <a:buNone/>
          </a:pPr>
          <a:r>
            <a:rPr lang="es-MX"/>
            <a:t>Categoría líder:</a:t>
          </a:r>
        </a:p>
        <a:p>
          <a:pPr marL="0" indent="0" algn="l">
            <a:buFontTx/>
            <a:buNone/>
          </a:pPr>
          <a:endParaRPr lang="es-MX"/>
        </a:p>
        <a:p>
          <a:pPr marL="0" indent="0" algn="l">
            <a:buFontTx/>
            <a:buNone/>
          </a:pPr>
          <a:r>
            <a:rPr lang="es-MX"/>
            <a:t>Producto más vendido:</a:t>
          </a:r>
        </a:p>
        <a:p>
          <a:pPr marL="0" indent="0" algn="l">
            <a:buFontTx/>
            <a:buNone/>
          </a:pPr>
          <a:endParaRPr lang="es-MX"/>
        </a:p>
        <a:p>
          <a:pPr marL="0" indent="0" algn="l">
            <a:buFontTx/>
            <a:buNone/>
          </a:pPr>
          <a:r>
            <a:rPr lang="es-MX"/>
            <a:t>Ticket promedio: </a:t>
          </a:r>
        </a:p>
        <a:p>
          <a:pPr marL="0" indent="0" algn="l">
            <a:buFontTx/>
            <a:buNone/>
          </a:pPr>
          <a:endParaRPr lang="es-MX"/>
        </a:p>
        <a:p>
          <a:pPr marL="0" indent="0" algn="l">
            <a:buFontTx/>
            <a:buNone/>
          </a:pPr>
          <a:r>
            <a:rPr lang="es-MX"/>
            <a:t>Inventario Total:</a:t>
          </a:r>
        </a:p>
        <a:p>
          <a:pPr marL="0" indent="0" algn="l">
            <a:buFontTx/>
            <a:buNone/>
          </a:pPr>
          <a:endParaRPr lang="es-MX"/>
        </a:p>
        <a:p>
          <a:pPr marL="0" indent="0" algn="l">
            <a:buFontTx/>
            <a:buNone/>
          </a:pPr>
          <a:r>
            <a:rPr lang="es-MX"/>
            <a:t>SKUs en inventario crítico  (&lt;20): 23</a:t>
          </a:r>
        </a:p>
        <a:p>
          <a:endParaRPr lang="es-MX"/>
        </a:p>
        <a:p>
          <a:endParaRPr lang="es-MX" sz="1100"/>
        </a:p>
      </xdr:txBody>
    </xdr:sp>
    <xdr:clientData/>
  </xdr:oneCellAnchor>
  <xdr:twoCellAnchor>
    <xdr:from>
      <xdr:col>0</xdr:col>
      <xdr:colOff>8985</xdr:colOff>
      <xdr:row>23</xdr:row>
      <xdr:rowOff>152760</xdr:rowOff>
    </xdr:from>
    <xdr:to>
      <xdr:col>1</xdr:col>
      <xdr:colOff>664952</xdr:colOff>
      <xdr:row>35</xdr:row>
      <xdr:rowOff>62901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33ED6CE1-6EC3-2ABE-6A6E-6F455F592355}"/>
            </a:ext>
          </a:extLst>
        </xdr:cNvPr>
        <xdr:cNvSpPr txBox="1">
          <a:spLocks noChangeArrowheads="1"/>
        </xdr:cNvSpPr>
      </xdr:nvSpPr>
      <xdr:spPr bwMode="auto">
        <a:xfrm>
          <a:off x="8985" y="6272123"/>
          <a:ext cx="2650825" cy="21745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MX" sz="1400" b="1" i="0" u="none" strike="noStrike" baseline="0">
              <a:solidFill>
                <a:srgbClr val="000000"/>
              </a:solidFill>
              <a:latin typeface="Aptos Narrow"/>
            </a:rPr>
            <a:t> Insights y acciones – Enero    2025</a:t>
          </a:r>
        </a:p>
        <a:p>
          <a:pPr algn="l" rtl="0">
            <a:defRPr sz="1000"/>
          </a:pPr>
          <a:br>
            <a:rPr lang="es-MX" sz="1100"/>
          </a:br>
          <a:r>
            <a:rPr lang="es-MX" sz="1100"/>
            <a:t>• Cómputo lidera ventas → stock + bundles.</a:t>
          </a:r>
        </a:p>
        <a:p>
          <a:pPr algn="l" rtl="0">
            <a:defRPr sz="1000"/>
          </a:pPr>
          <a:br>
            <a:rPr lang="es-MX" sz="1100"/>
          </a:br>
          <a:r>
            <a:rPr lang="es-MX" sz="1100"/>
            <a:t>• Audífonos BT top → cross-sell laptops.</a:t>
          </a:r>
        </a:p>
        <a:p>
          <a:pPr algn="l" rtl="0">
            <a:defRPr sz="1000"/>
          </a:pPr>
          <a:br>
            <a:rPr lang="es-MX" sz="1100"/>
          </a:br>
          <a:r>
            <a:rPr lang="es-MX" sz="1100"/>
            <a:t>• 23 SKUs críticos → reposición urgente.</a:t>
          </a:r>
          <a:endParaRPr lang="es-MX" sz="1100" b="0" i="0" u="none" strike="noStrike" baseline="0">
            <a:solidFill>
              <a:srgbClr val="000000"/>
            </a:solidFill>
            <a:latin typeface="Aptos Narrow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tiz" refreshedDate="46050.553543518516" missingItemsLimit="0" createdVersion="8" refreshedVersion="8" minRefreshableVersion="3" recordCount="30" xr:uid="{9498A2D8-9848-4799-BF4B-D49411FDB930}">
  <cacheSource type="worksheet">
    <worksheetSource name="tbl_ventas"/>
  </cacheSource>
  <cacheFields count="9">
    <cacheField name="date" numFmtId="14">
      <sharedItems containsSemiMixedTypes="0" containsNonDate="0" containsDate="1" containsString="0" minDate="2025-01-01T00:00:00" maxDate="2025-01-16T00:00:00" count="15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</sharedItems>
    </cacheField>
    <cacheField name="product" numFmtId="0">
      <sharedItems/>
    </cacheField>
    <cacheField name="category" numFmtId="0">
      <sharedItems count="2">
        <s v="Electronics"/>
        <s v="Computers"/>
      </sharedItems>
    </cacheField>
    <cacheField name="price" numFmtId="0">
      <sharedItems containsSemiMixedTypes="0" containsString="0" containsNumber="1" minValue="25.99" maxValue="1499.99"/>
    </cacheField>
    <cacheField name="quantity" numFmtId="0">
      <sharedItems containsSemiMixedTypes="0" containsString="0" containsNumber="1" containsInteger="1" minValue="1" maxValue="4"/>
    </cacheField>
    <cacheField name="inventory" numFmtId="0">
      <sharedItems containsSemiMixedTypes="0" containsString="0" containsNumber="1" containsInteger="1" minValue="0" maxValue="34"/>
    </cacheField>
    <cacheField name="revenue" numFmtId="0">
      <sharedItems containsSemiMixedTypes="0" containsString="0" containsNumber="1" minValue="25.99" maxValue="1499.99"/>
    </cacheField>
    <cacheField name="profit" numFmtId="0">
      <sharedItems containsSemiMixedTypes="0" containsString="0" containsNumber="1" minValue="-16.020000000000003" maxValue="1499.99"/>
    </cacheField>
    <cacheField name="margin_pct" numFmtId="0">
      <sharedItems containsSemiMixedTypes="0" containsString="0" containsNumber="1" minValue="-0.30819545979222784" maxValue="1"/>
    </cacheField>
  </cacheFields>
  <extLst>
    <ext xmlns:x14="http://schemas.microsoft.com/office/spreadsheetml/2009/9/main" uri="{725AE2AE-9491-48be-B2B4-4EB974FC3084}">
      <x14:pivotCacheDefinition pivotCacheId="114151725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Gaming Mouse"/>
    <x v="0"/>
    <n v="25.99"/>
    <n v="2"/>
    <n v="34"/>
    <n v="51.98"/>
    <n v="-16.020000000000003"/>
    <n v="-0.30819545979222784"/>
  </r>
  <r>
    <x v="0"/>
    <s v="Mechanical Keyboard"/>
    <x v="0"/>
    <n v="55.99"/>
    <n v="1"/>
    <n v="12"/>
    <n v="55.99"/>
    <n v="43.99"/>
    <n v="0.78567601357385253"/>
  </r>
  <r>
    <x v="1"/>
    <s v="Bluetooth Headphones"/>
    <x v="0"/>
    <n v="39.99"/>
    <n v="3"/>
    <n v="20"/>
    <n v="119.97"/>
    <n v="59.97"/>
    <n v="0.49987496874218557"/>
  </r>
  <r>
    <x v="1"/>
    <s v="Basic Laptop"/>
    <x v="1"/>
    <n v="499.99"/>
    <n v="1"/>
    <n v="5"/>
    <n v="499.99"/>
    <n v="494.99"/>
    <n v="0.98999979999599996"/>
  </r>
  <r>
    <x v="2"/>
    <s v="Laptop Gamer"/>
    <x v="1"/>
    <n v="1499.99"/>
    <n v="1"/>
    <n v="2"/>
    <n v="1499.99"/>
    <n v="1497.99"/>
    <n v="0.99866665777771857"/>
  </r>
  <r>
    <x v="2"/>
    <s v="Gaming Mouse"/>
    <x v="0"/>
    <n v="25.99"/>
    <n v="1"/>
    <n v="33"/>
    <n v="25.99"/>
    <n v="-7.0100000000000016"/>
    <n v="-0.26971912273951526"/>
  </r>
  <r>
    <x v="3"/>
    <s v="Mechanical Keyboard"/>
    <x v="0"/>
    <n v="55.99"/>
    <n v="2"/>
    <n v="10"/>
    <n v="111.98"/>
    <n v="91.98"/>
    <n v="0.82139667797821037"/>
  </r>
  <r>
    <x v="3"/>
    <s v="24&quot; Monitor"/>
    <x v="1"/>
    <n v="129.99"/>
    <n v="1"/>
    <n v="8"/>
    <n v="129.99"/>
    <n v="121.99000000000001"/>
    <n v="0.93845680436956691"/>
  </r>
  <r>
    <x v="4"/>
    <s v="10&quot; Tablet"/>
    <x v="1"/>
    <n v="199.99"/>
    <n v="2"/>
    <n v="15"/>
    <n v="399.98"/>
    <n v="369.98"/>
    <n v="0.92499624981249062"/>
  </r>
  <r>
    <x v="4"/>
    <s v="Bluetooth Headphones"/>
    <x v="0"/>
    <n v="39.99"/>
    <n v="1"/>
    <n v="19"/>
    <n v="39.99"/>
    <n v="20.990000000000002"/>
    <n v="0.52488122030507633"/>
  </r>
  <r>
    <x v="5"/>
    <s v="Basic Laptop"/>
    <x v="1"/>
    <n v="499.99"/>
    <n v="1"/>
    <n v="4"/>
    <n v="499.99"/>
    <n v="495.99"/>
    <n v="0.99199983999679997"/>
  </r>
  <r>
    <x v="5"/>
    <s v="Gaming Mouse"/>
    <x v="0"/>
    <n v="25.99"/>
    <n v="3"/>
    <n v="30"/>
    <n v="77.97"/>
    <n v="-12.030000000000001"/>
    <n v="-0.15429011158137748"/>
  </r>
  <r>
    <x v="6"/>
    <s v="Mechanical Keyboard"/>
    <x v="0"/>
    <n v="55.99"/>
    <n v="1"/>
    <n v="9"/>
    <n v="55.99"/>
    <n v="46.99"/>
    <n v="0.83925701018038934"/>
  </r>
  <r>
    <x v="6"/>
    <s v="Laptop Gamer"/>
    <x v="1"/>
    <n v="1499.99"/>
    <n v="1"/>
    <n v="1"/>
    <n v="1499.99"/>
    <n v="1498.99"/>
    <n v="0.99933332888885928"/>
  </r>
  <r>
    <x v="7"/>
    <s v="24&quot; Monitor"/>
    <x v="1"/>
    <n v="129.99"/>
    <n v="2"/>
    <n v="6"/>
    <n v="259.98"/>
    <n v="247.98000000000002"/>
    <n v="0.95384260327717518"/>
  </r>
  <r>
    <x v="7"/>
    <s v="Bluetooth Headphones"/>
    <x v="0"/>
    <n v="39.99"/>
    <n v="4"/>
    <n v="15"/>
    <n v="159.96"/>
    <n v="99.960000000000008"/>
    <n v="0.62490622655663919"/>
  </r>
  <r>
    <x v="8"/>
    <s v="Basic Laptop"/>
    <x v="1"/>
    <n v="499.99"/>
    <n v="1"/>
    <n v="3"/>
    <n v="499.99"/>
    <n v="496.99"/>
    <n v="0.99399987999759998"/>
  </r>
  <r>
    <x v="8"/>
    <s v="Gaming Mouse"/>
    <x v="0"/>
    <n v="25.99"/>
    <n v="2"/>
    <n v="28"/>
    <n v="51.98"/>
    <n v="-4.0200000000000031"/>
    <n v="-7.7337437475952356E-2"/>
  </r>
  <r>
    <x v="9"/>
    <s v="Mechanical Keyboard"/>
    <x v="0"/>
    <n v="55.99"/>
    <n v="2"/>
    <n v="8"/>
    <n v="111.98"/>
    <n v="95.98"/>
    <n v="0.85711734238256831"/>
  </r>
  <r>
    <x v="9"/>
    <s v="Laptop Gamer"/>
    <x v="1"/>
    <n v="1499.99"/>
    <n v="1"/>
    <n v="0"/>
    <n v="1499.99"/>
    <n v="1499.99"/>
    <n v="1"/>
  </r>
  <r>
    <x v="10"/>
    <s v="24&quot; Monitor"/>
    <x v="1"/>
    <n v="129.99"/>
    <n v="1"/>
    <n v="5"/>
    <n v="129.99"/>
    <n v="124.99000000000001"/>
    <n v="0.96153550273097932"/>
  </r>
  <r>
    <x v="10"/>
    <s v="10&quot; Tablet"/>
    <x v="1"/>
    <n v="199.99"/>
    <n v="1"/>
    <n v="14"/>
    <n v="199.99"/>
    <n v="185.99"/>
    <n v="0.92999649982499122"/>
  </r>
  <r>
    <x v="11"/>
    <s v="Bluetooth Headphones"/>
    <x v="0"/>
    <n v="39.99"/>
    <n v="2"/>
    <n v="13"/>
    <n v="79.98"/>
    <n v="53.980000000000004"/>
    <n v="0.67491872968242062"/>
  </r>
  <r>
    <x v="11"/>
    <s v="Basic Laptop"/>
    <x v="1"/>
    <n v="499.99"/>
    <n v="1"/>
    <n v="2"/>
    <n v="499.99"/>
    <n v="497.99"/>
    <n v="0.99599991999839999"/>
  </r>
  <r>
    <x v="12"/>
    <s v="Gaming Mouse"/>
    <x v="0"/>
    <n v="25.99"/>
    <n v="2"/>
    <n v="26"/>
    <n v="51.98"/>
    <n v="-2.0000000000003126E-2"/>
    <n v="-3.8476337052718596E-4"/>
  </r>
  <r>
    <x v="12"/>
    <s v="Mechanical Keyboard"/>
    <x v="0"/>
    <n v="55.99"/>
    <n v="1"/>
    <n v="7"/>
    <n v="55.99"/>
    <n v="48.99"/>
    <n v="0.87497767458474729"/>
  </r>
  <r>
    <x v="13"/>
    <s v="Laptop Gamer"/>
    <x v="1"/>
    <n v="1499.99"/>
    <n v="1"/>
    <n v="0"/>
    <n v="1499.99"/>
    <n v="1499.99"/>
    <n v="1"/>
  </r>
  <r>
    <x v="13"/>
    <s v="Gaming Mouse"/>
    <x v="0"/>
    <n v="25.99"/>
    <n v="4"/>
    <n v="22"/>
    <n v="103.96"/>
    <n v="15.959999999999994"/>
    <n v="0.15352058484032316"/>
  </r>
  <r>
    <x v="14"/>
    <s v="10&quot; Tablet"/>
    <x v="1"/>
    <n v="199.99"/>
    <n v="3"/>
    <n v="11"/>
    <n v="599.97"/>
    <n v="566.97"/>
    <n v="0.94499724986249312"/>
  </r>
  <r>
    <x v="14"/>
    <s v="Bluetooth Headphones"/>
    <x v="0"/>
    <n v="39.99"/>
    <n v="2"/>
    <n v="11"/>
    <n v="79.98"/>
    <n v="57.980000000000004"/>
    <n v="0.724931232808202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17B79F-8486-41E0-884A-77ABCAB69733}" name="TablaDinámica3" cacheId="0" applyNumberFormats="0" applyBorderFormats="0" applyFontFormats="0" applyPatternFormats="0" applyAlignmentFormats="0" applyWidthHeightFormats="1" dataCaption="Valores" grandTotalCaption="Grand Total" updatedVersion="8" minRefreshableVersion="3" useAutoFormatting="1" itemPrintTitles="1" createdVersion="8" indent="0" outline="1" outlineData="1" multipleFieldFilters="0" rowHeaderCaption="Date">
  <location ref="A10:B26" firstHeaderRow="1" firstDataRow="1" firstDataCol="1"/>
  <pivotFields count="9">
    <pivotField axis="axisRow" numFmtId="14" showAll="0">
      <items count="1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t="default" sd="0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2">
    <field x="0"/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Daily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DC4D071-5ABB-473A-B505-7DAA7F376E6A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product" tableColumnId="2"/>
      <queryTableField id="3" name="category" tableColumnId="3"/>
      <queryTableField id="4" name="price" tableColumnId="4"/>
      <queryTableField id="5" name="quantity" tableColumnId="5"/>
      <queryTableField id="6" name="inventory" tableColumnId="6"/>
      <queryTableField id="7" name="revenue" tableColumnId="7"/>
      <queryTableField id="8" name="profit" tableColumnId="8"/>
      <queryTableField id="9" name="margin_pc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3FFFF2-B137-47D2-B003-8033CC2E68FF}" name="tbl_ventas_1" displayName="tbl_ventas_1" ref="A1:I31" tableType="queryTable" totalsRowShown="0">
  <autoFilter ref="A1:I31" xr:uid="{8A3FFFF2-B137-47D2-B003-8033CC2E68FF}"/>
  <tableColumns count="9">
    <tableColumn id="1" xr3:uid="{1B156202-DBB3-48B8-BC44-40D0E5D3575A}" uniqueName="1" name="date" queryTableFieldId="1" dataDxfId="11"/>
    <tableColumn id="2" xr3:uid="{8663F9A4-40C9-4D3E-BCED-618330562972}" uniqueName="2" name="product" queryTableFieldId="2" dataDxfId="10"/>
    <tableColumn id="3" xr3:uid="{33B8F0AE-2827-4F31-8A5D-655F326A9C0A}" uniqueName="3" name="category" queryTableFieldId="3" dataDxfId="9"/>
    <tableColumn id="4" xr3:uid="{77C62272-1034-44D2-AE2D-E71AC997F276}" uniqueName="4" name="price" queryTableFieldId="4" dataDxfId="8"/>
    <tableColumn id="5" xr3:uid="{AD5BF798-CBD6-4446-9712-8A9F12788FA8}" uniqueName="5" name="quantity" queryTableFieldId="5" dataDxfId="7"/>
    <tableColumn id="6" xr3:uid="{50A6E109-4C3D-46A5-B29F-E77105EAE44E}" uniqueName="6" name="inventory" queryTableFieldId="6"/>
    <tableColumn id="7" xr3:uid="{34FDD2FC-3F75-4EC0-86FC-C2F16C772E42}" uniqueName="7" name="revenue" queryTableFieldId="7" dataDxfId="6"/>
    <tableColumn id="8" xr3:uid="{C13B32B0-9E67-4E80-A4D8-B4A1F0CF2E02}" uniqueName="8" name="profit" queryTableFieldId="8" dataDxfId="5"/>
    <tableColumn id="9" xr3:uid="{F40C00B3-89C7-48B5-97C2-44A424B063F2}" uniqueName="9" name="margin_pct" queryTableFieldId="9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6A783A-0309-48DA-9B75-A836A6496D39}" name="tbl_ventas" displayName="tbl_ventas" ref="A1:I31" totalsRowShown="0">
  <autoFilter ref="A1:I31" xr:uid="{626A783A-0309-48DA-9B75-A836A6496D39}"/>
  <tableColumns count="9">
    <tableColumn id="1" xr3:uid="{A3DEC605-9DD4-43F5-ADD1-F816B95B9BBF}" name="date" dataDxfId="3"/>
    <tableColumn id="2" xr3:uid="{0C099EB8-FE64-4ACE-A7EE-42C2CAE8B073}" name="product"/>
    <tableColumn id="3" xr3:uid="{B00A2735-C1F9-42BC-8FCB-89C347B050E7}" name="category"/>
    <tableColumn id="4" xr3:uid="{6AF170AC-841A-405E-B8A1-197AEC8763E5}" name="price"/>
    <tableColumn id="5" xr3:uid="{B5BEDCF0-C234-44ED-BCD1-4715BE5BCEB9}" name="quantity"/>
    <tableColumn id="7" xr3:uid="{E8581F11-2F04-4D87-A03E-BEE62AEA5B85}" name="inventory"/>
    <tableColumn id="8" xr3:uid="{0C45C161-1B7F-4CBA-8193-39928CDAC361}" name="revenue" dataDxfId="2">
      <calculatedColumnFormula>tbl_ventas[[#This Row],[price]]*tbl_ventas[[#This Row],[quantity]]</calculatedColumnFormula>
    </tableColumn>
    <tableColumn id="9" xr3:uid="{6C14AA0E-580A-46FB-8624-D708DFA82935}" name="profit" dataDxfId="1">
      <calculatedColumnFormula>tbl_ventas[[#This Row],[revenue]]-(tbl_ventas[[#This Row],[inventory]]*tbl_ventas[[#This Row],[quantity]])</calculatedColumnFormula>
    </tableColumn>
    <tableColumn id="10" xr3:uid="{72BC44FE-9773-4BE8-BC15-A93D85976123}" name="margin_pct" dataDxfId="0">
      <calculatedColumnFormula>IFERROR(tbl_ventas[[#This Row],[profit]]/tbl_ventas[[#This Row],[revenue]],0)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7C474-3346-4D58-AE67-EFE9BAE9636D}">
  <sheetPr>
    <pageSetUpPr fitToPage="1"/>
  </sheetPr>
  <dimension ref="A1:Q38"/>
  <sheetViews>
    <sheetView showGridLines="0" topLeftCell="A2" zoomScale="75" zoomScaleNormal="75" workbookViewId="0">
      <selection activeCell="Q7" sqref="Q7"/>
    </sheetView>
  </sheetViews>
  <sheetFormatPr baseColWidth="10" defaultRowHeight="15"/>
  <cols>
    <col min="1" max="1" width="29.85546875" customWidth="1"/>
    <col min="2" max="3" width="16.85546875" customWidth="1"/>
    <col min="4" max="4" width="19" customWidth="1"/>
    <col min="5" max="7" width="11.42578125" customWidth="1"/>
  </cols>
  <sheetData>
    <row r="1" spans="1:17" ht="32.1" customHeight="1">
      <c r="B1" s="7" t="s">
        <v>41</v>
      </c>
      <c r="D1" s="7"/>
      <c r="E1" s="7"/>
      <c r="F1" s="7"/>
    </row>
    <row r="2" spans="1:17" ht="24.95" customHeight="1"/>
    <row r="3" spans="1:17" ht="20.100000000000001" customHeight="1">
      <c r="A3" s="24" t="s">
        <v>3</v>
      </c>
      <c r="B3" s="15"/>
      <c r="D3" s="3"/>
    </row>
    <row r="4" spans="1:17" ht="18" customHeight="1">
      <c r="A4" s="17" t="s">
        <v>28</v>
      </c>
      <c r="B4" s="3"/>
      <c r="D4" s="18">
        <f>SUM(tbl_ventas[revenue])</f>
        <v>10955.489999999996</v>
      </c>
      <c r="E4" s="25"/>
      <c r="Q4" s="26"/>
    </row>
    <row r="5" spans="1:17" ht="18" customHeight="1">
      <c r="A5" s="17" t="s">
        <v>36</v>
      </c>
      <c r="B5" s="3"/>
      <c r="D5" s="19" t="s">
        <v>36</v>
      </c>
    </row>
    <row r="6" spans="1:17" ht="18" customHeight="1">
      <c r="A6" s="17" t="s">
        <v>29</v>
      </c>
      <c r="B6" s="3"/>
      <c r="D6" s="19" t="s">
        <v>37</v>
      </c>
    </row>
    <row r="7" spans="1:17" ht="18" customHeight="1">
      <c r="A7" s="17" t="s">
        <v>30</v>
      </c>
      <c r="B7" s="3"/>
      <c r="D7" s="18">
        <f>SUM(tbl_ventas[revenue])/COUNTA(tbl_ventas[date])</f>
        <v>365.18299999999988</v>
      </c>
    </row>
    <row r="8" spans="1:17" ht="18" customHeight="1">
      <c r="A8" s="17" t="s">
        <v>31</v>
      </c>
      <c r="B8" s="3"/>
      <c r="D8" s="19">
        <f>SUM(tbl_ventas[inventory])</f>
        <v>373</v>
      </c>
    </row>
    <row r="9" spans="1:17" ht="18" customHeight="1">
      <c r="A9" s="17" t="s">
        <v>32</v>
      </c>
      <c r="B9" s="3"/>
      <c r="D9" s="19">
        <f>COUNTIF(tbl_ventas[inventory],"&lt;20")</f>
        <v>23</v>
      </c>
    </row>
    <row r="10" spans="1:17" ht="24.95" customHeight="1"/>
    <row r="11" spans="1:17" ht="20.100000000000001" customHeight="1">
      <c r="A11" s="24" t="s">
        <v>33</v>
      </c>
      <c r="B11" s="15"/>
      <c r="D11" s="12"/>
    </row>
    <row r="12" spans="1:17" ht="18" customHeight="1">
      <c r="A12" s="17" t="s">
        <v>28</v>
      </c>
      <c r="B12" s="3"/>
      <c r="D12" s="20">
        <f>D4</f>
        <v>10955.489999999996</v>
      </c>
    </row>
    <row r="13" spans="1:17" ht="18" customHeight="1">
      <c r="A13" s="17" t="s">
        <v>34</v>
      </c>
      <c r="B13" s="3"/>
      <c r="D13" s="20" t="str">
        <f>D5</f>
        <v>Computers</v>
      </c>
      <c r="Q13" s="16"/>
    </row>
    <row r="14" spans="1:17" ht="18" customHeight="1">
      <c r="A14" s="17" t="s">
        <v>35</v>
      </c>
      <c r="B14" s="3"/>
      <c r="D14" s="21">
        <f>D9</f>
        <v>23</v>
      </c>
    </row>
    <row r="15" spans="1:17" ht="24.95" customHeight="1"/>
    <row r="16" spans="1:17" ht="20.100000000000001" customHeight="1">
      <c r="A16" s="23" t="s">
        <v>27</v>
      </c>
      <c r="B16" s="14"/>
    </row>
    <row r="17" spans="1:4" ht="18" customHeight="1">
      <c r="A17" s="22" t="s">
        <v>38</v>
      </c>
      <c r="B17" s="13"/>
      <c r="D17" s="5"/>
    </row>
    <row r="18" spans="1:4" ht="18" customHeight="1">
      <c r="A18" s="22" t="s">
        <v>39</v>
      </c>
      <c r="B18" s="13"/>
      <c r="D18" s="5"/>
    </row>
    <row r="19" spans="1:4" ht="18" customHeight="1">
      <c r="A19" s="22" t="s">
        <v>40</v>
      </c>
      <c r="B19" s="13"/>
    </row>
    <row r="32" spans="1:4" ht="18.75">
      <c r="A32" s="14"/>
      <c r="B32" s="14"/>
    </row>
    <row r="33" spans="1:2">
      <c r="A33" s="13"/>
      <c r="B33" s="13"/>
    </row>
    <row r="34" spans="1:2">
      <c r="A34" s="13"/>
      <c r="B34" s="13"/>
    </row>
    <row r="35" spans="1:2">
      <c r="A35" s="13"/>
      <c r="B35" s="13"/>
    </row>
    <row r="36" spans="1:2">
      <c r="A36" s="13"/>
      <c r="B36" s="13"/>
    </row>
    <row r="37" spans="1:2">
      <c r="A37" s="13"/>
      <c r="B37" s="13"/>
    </row>
    <row r="38" spans="1:2">
      <c r="A38" s="13"/>
      <c r="B38" s="13"/>
    </row>
  </sheetData>
  <printOptions horizontalCentered="1"/>
  <pageMargins left="0.70866141732283472" right="0" top="0.74803149606299213" bottom="0.74803149606299213" header="0.31496062992125984" footer="0.31496062992125984"/>
  <pageSetup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B4260-EA81-4065-9E4F-C282B31E81F3}">
  <dimension ref="A1:K33"/>
  <sheetViews>
    <sheetView workbookViewId="0">
      <selection activeCell="G4" sqref="G4"/>
    </sheetView>
  </sheetViews>
  <sheetFormatPr baseColWidth="10" defaultRowHeight="15"/>
  <cols>
    <col min="1" max="1" width="10.42578125" bestFit="1" customWidth="1"/>
    <col min="2" max="2" width="21.28515625" bestFit="1" customWidth="1"/>
    <col min="3" max="3" width="12.7109375" bestFit="1" customWidth="1"/>
    <col min="4" max="4" width="9.140625" style="33" bestFit="1" customWidth="1"/>
    <col min="5" max="5" width="10.7109375" style="31" bestFit="1" customWidth="1"/>
    <col min="6" max="6" width="11.85546875" bestFit="1" customWidth="1"/>
    <col min="7" max="7" width="10.7109375" style="30" bestFit="1" customWidth="1"/>
    <col min="8" max="8" width="9.140625" style="30" bestFit="1" customWidth="1"/>
    <col min="9" max="9" width="13.140625" style="32" bestFit="1" customWidth="1"/>
  </cols>
  <sheetData>
    <row r="1" spans="1:9">
      <c r="A1" t="s">
        <v>17</v>
      </c>
      <c r="B1" t="s">
        <v>18</v>
      </c>
      <c r="C1" t="s">
        <v>20</v>
      </c>
      <c r="D1" s="33" t="s">
        <v>21</v>
      </c>
      <c r="E1" s="31" t="s">
        <v>22</v>
      </c>
      <c r="F1" t="s">
        <v>23</v>
      </c>
      <c r="G1" s="30" t="s">
        <v>24</v>
      </c>
      <c r="H1" s="30" t="s">
        <v>25</v>
      </c>
      <c r="I1" s="32" t="s">
        <v>26</v>
      </c>
    </row>
    <row r="2" spans="1:9">
      <c r="A2" s="1">
        <v>45658</v>
      </c>
      <c r="B2" t="s">
        <v>11</v>
      </c>
      <c r="C2" t="s">
        <v>48</v>
      </c>
      <c r="D2" s="33">
        <v>25.99</v>
      </c>
      <c r="E2" s="31">
        <v>2</v>
      </c>
      <c r="F2">
        <v>34</v>
      </c>
      <c r="G2" s="30">
        <v>51.98</v>
      </c>
      <c r="H2" s="30">
        <v>-16.020000000000003</v>
      </c>
      <c r="I2" s="32">
        <v>-0.30819545979222784</v>
      </c>
    </row>
    <row r="3" spans="1:9">
      <c r="A3" s="1">
        <v>45658</v>
      </c>
      <c r="B3" t="s">
        <v>12</v>
      </c>
      <c r="C3" t="s">
        <v>48</v>
      </c>
      <c r="D3" s="33">
        <v>55.99</v>
      </c>
      <c r="E3" s="31">
        <v>1</v>
      </c>
      <c r="F3">
        <v>12</v>
      </c>
      <c r="G3" s="30">
        <v>55.99</v>
      </c>
      <c r="H3" s="30">
        <v>43.99</v>
      </c>
      <c r="I3" s="32">
        <v>0.78567601357385253</v>
      </c>
    </row>
    <row r="4" spans="1:9">
      <c r="A4" s="1">
        <v>45659</v>
      </c>
      <c r="B4" t="s">
        <v>13</v>
      </c>
      <c r="C4" t="s">
        <v>48</v>
      </c>
      <c r="D4" s="33">
        <v>39.99</v>
      </c>
      <c r="E4" s="31">
        <v>3</v>
      </c>
      <c r="F4">
        <v>20</v>
      </c>
      <c r="G4" s="30">
        <v>119.97</v>
      </c>
      <c r="H4" s="30">
        <v>59.97</v>
      </c>
      <c r="I4" s="32">
        <v>0.49987496874218557</v>
      </c>
    </row>
    <row r="5" spans="1:9">
      <c r="A5" s="1">
        <v>45659</v>
      </c>
      <c r="B5" t="s">
        <v>14</v>
      </c>
      <c r="C5" t="s">
        <v>49</v>
      </c>
      <c r="D5" s="33">
        <v>499.99</v>
      </c>
      <c r="E5" s="31">
        <v>1</v>
      </c>
      <c r="F5">
        <v>5</v>
      </c>
      <c r="G5" s="30">
        <v>499.99</v>
      </c>
      <c r="H5" s="30">
        <v>494.99</v>
      </c>
      <c r="I5" s="32">
        <v>0.98999979999599996</v>
      </c>
    </row>
    <row r="6" spans="1:9">
      <c r="A6" s="1">
        <v>45660</v>
      </c>
      <c r="B6" t="s">
        <v>0</v>
      </c>
      <c r="C6" t="s">
        <v>49</v>
      </c>
      <c r="D6" s="33">
        <v>1499.99</v>
      </c>
      <c r="E6" s="31">
        <v>1</v>
      </c>
      <c r="F6">
        <v>2</v>
      </c>
      <c r="G6" s="30">
        <v>1499.99</v>
      </c>
      <c r="H6" s="30">
        <v>1497.99</v>
      </c>
      <c r="I6" s="32">
        <v>0.99866665777771857</v>
      </c>
    </row>
    <row r="7" spans="1:9">
      <c r="A7" s="1">
        <v>45660</v>
      </c>
      <c r="B7" t="s">
        <v>11</v>
      </c>
      <c r="C7" t="s">
        <v>48</v>
      </c>
      <c r="D7" s="33">
        <v>25.99</v>
      </c>
      <c r="E7" s="31">
        <v>1</v>
      </c>
      <c r="F7">
        <v>33</v>
      </c>
      <c r="G7" s="30">
        <v>25.99</v>
      </c>
      <c r="H7" s="30">
        <v>-7.0100000000000016</v>
      </c>
      <c r="I7" s="32">
        <v>-0.26971912273951526</v>
      </c>
    </row>
    <row r="8" spans="1:9">
      <c r="A8" s="1">
        <v>45661</v>
      </c>
      <c r="B8" t="s">
        <v>12</v>
      </c>
      <c r="C8" t="s">
        <v>48</v>
      </c>
      <c r="D8" s="33">
        <v>55.99</v>
      </c>
      <c r="E8" s="31">
        <v>2</v>
      </c>
      <c r="F8">
        <v>10</v>
      </c>
      <c r="G8" s="30">
        <v>111.98</v>
      </c>
      <c r="H8" s="30">
        <v>91.98</v>
      </c>
      <c r="I8" s="32">
        <v>0.82139667797821037</v>
      </c>
    </row>
    <row r="9" spans="1:9">
      <c r="A9" s="1">
        <v>45661</v>
      </c>
      <c r="B9" t="s">
        <v>15</v>
      </c>
      <c r="C9" t="s">
        <v>49</v>
      </c>
      <c r="D9" s="33">
        <v>129.99</v>
      </c>
      <c r="E9" s="31">
        <v>1</v>
      </c>
      <c r="F9">
        <v>8</v>
      </c>
      <c r="G9" s="30">
        <v>129.99</v>
      </c>
      <c r="H9" s="30">
        <v>121.99000000000001</v>
      </c>
      <c r="I9" s="32">
        <v>0.93845680436956691</v>
      </c>
    </row>
    <row r="10" spans="1:9">
      <c r="A10" s="1">
        <v>45662</v>
      </c>
      <c r="B10" t="s">
        <v>16</v>
      </c>
      <c r="C10" t="s">
        <v>49</v>
      </c>
      <c r="D10" s="33">
        <v>199.99</v>
      </c>
      <c r="E10" s="31">
        <v>2</v>
      </c>
      <c r="F10">
        <v>15</v>
      </c>
      <c r="G10" s="30">
        <v>399.98</v>
      </c>
      <c r="H10" s="30">
        <v>369.98</v>
      </c>
      <c r="I10" s="32">
        <v>0.92499624981249062</v>
      </c>
    </row>
    <row r="11" spans="1:9">
      <c r="A11" s="1">
        <v>45662</v>
      </c>
      <c r="B11" t="s">
        <v>13</v>
      </c>
      <c r="C11" t="s">
        <v>48</v>
      </c>
      <c r="D11" s="33">
        <v>39.99</v>
      </c>
      <c r="E11" s="31">
        <v>1</v>
      </c>
      <c r="F11">
        <v>19</v>
      </c>
      <c r="G11" s="30">
        <v>39.99</v>
      </c>
      <c r="H11" s="30">
        <v>20.990000000000002</v>
      </c>
      <c r="I11" s="32">
        <v>0.52488122030507633</v>
      </c>
    </row>
    <row r="12" spans="1:9">
      <c r="A12" s="1">
        <v>45663</v>
      </c>
      <c r="B12" t="s">
        <v>14</v>
      </c>
      <c r="C12" t="s">
        <v>49</v>
      </c>
      <c r="D12" s="33">
        <v>499.99</v>
      </c>
      <c r="E12" s="31">
        <v>1</v>
      </c>
      <c r="F12">
        <v>4</v>
      </c>
      <c r="G12" s="30">
        <v>499.99</v>
      </c>
      <c r="H12" s="30">
        <v>495.99</v>
      </c>
      <c r="I12" s="32">
        <v>0.99199983999679997</v>
      </c>
    </row>
    <row r="13" spans="1:9">
      <c r="A13" s="1">
        <v>45663</v>
      </c>
      <c r="B13" t="s">
        <v>11</v>
      </c>
      <c r="C13" t="s">
        <v>48</v>
      </c>
      <c r="D13" s="33">
        <v>25.99</v>
      </c>
      <c r="E13" s="31">
        <v>3</v>
      </c>
      <c r="F13">
        <v>30</v>
      </c>
      <c r="G13" s="30">
        <v>77.97</v>
      </c>
      <c r="H13" s="30">
        <v>-12.030000000000001</v>
      </c>
      <c r="I13" s="32">
        <v>-0.15429011158137748</v>
      </c>
    </row>
    <row r="14" spans="1:9">
      <c r="A14" s="1">
        <v>45664</v>
      </c>
      <c r="B14" t="s">
        <v>12</v>
      </c>
      <c r="C14" t="s">
        <v>48</v>
      </c>
      <c r="D14" s="33">
        <v>55.99</v>
      </c>
      <c r="E14" s="31">
        <v>1</v>
      </c>
      <c r="F14">
        <v>9</v>
      </c>
      <c r="G14" s="30">
        <v>55.99</v>
      </c>
      <c r="H14" s="30">
        <v>46.99</v>
      </c>
      <c r="I14" s="32">
        <v>0.83925701018038934</v>
      </c>
    </row>
    <row r="15" spans="1:9">
      <c r="A15" s="1">
        <v>45664</v>
      </c>
      <c r="B15" t="s">
        <v>0</v>
      </c>
      <c r="C15" t="s">
        <v>49</v>
      </c>
      <c r="D15" s="33">
        <v>1499.99</v>
      </c>
      <c r="E15" s="31">
        <v>1</v>
      </c>
      <c r="F15">
        <v>1</v>
      </c>
      <c r="G15" s="30">
        <v>1499.99</v>
      </c>
      <c r="H15" s="30">
        <v>1498.99</v>
      </c>
      <c r="I15" s="32">
        <v>0.99933332888885928</v>
      </c>
    </row>
    <row r="16" spans="1:9">
      <c r="A16" s="1">
        <v>45665</v>
      </c>
      <c r="B16" t="s">
        <v>15</v>
      </c>
      <c r="C16" t="s">
        <v>49</v>
      </c>
      <c r="D16" s="33">
        <v>129.99</v>
      </c>
      <c r="E16" s="31">
        <v>2</v>
      </c>
      <c r="F16">
        <v>6</v>
      </c>
      <c r="G16" s="30">
        <v>259.98</v>
      </c>
      <c r="H16" s="30">
        <v>247.98000000000002</v>
      </c>
      <c r="I16" s="32">
        <v>0.95384260327717518</v>
      </c>
    </row>
    <row r="17" spans="1:9">
      <c r="A17" s="1">
        <v>45665</v>
      </c>
      <c r="B17" t="s">
        <v>13</v>
      </c>
      <c r="C17" t="s">
        <v>48</v>
      </c>
      <c r="D17" s="33">
        <v>39.99</v>
      </c>
      <c r="E17" s="31">
        <v>4</v>
      </c>
      <c r="F17">
        <v>15</v>
      </c>
      <c r="G17" s="30">
        <v>159.96</v>
      </c>
      <c r="H17" s="30">
        <v>99.960000000000008</v>
      </c>
      <c r="I17" s="32">
        <v>0.62490622655663919</v>
      </c>
    </row>
    <row r="18" spans="1:9">
      <c r="A18" s="1">
        <v>45666</v>
      </c>
      <c r="B18" t="s">
        <v>14</v>
      </c>
      <c r="C18" t="s">
        <v>49</v>
      </c>
      <c r="D18" s="33">
        <v>499.99</v>
      </c>
      <c r="E18" s="31">
        <v>1</v>
      </c>
      <c r="F18">
        <v>3</v>
      </c>
      <c r="G18" s="30">
        <v>499.99</v>
      </c>
      <c r="H18" s="30">
        <v>496.99</v>
      </c>
      <c r="I18" s="32">
        <v>0.99399987999759998</v>
      </c>
    </row>
    <row r="19" spans="1:9">
      <c r="A19" s="1">
        <v>45666</v>
      </c>
      <c r="B19" t="s">
        <v>11</v>
      </c>
      <c r="C19" t="s">
        <v>48</v>
      </c>
      <c r="D19" s="33">
        <v>25.99</v>
      </c>
      <c r="E19" s="31">
        <v>2</v>
      </c>
      <c r="F19">
        <v>28</v>
      </c>
      <c r="G19" s="30">
        <v>51.98</v>
      </c>
      <c r="H19" s="30">
        <v>-4.0200000000000031</v>
      </c>
      <c r="I19" s="32">
        <v>-7.7337437475952356E-2</v>
      </c>
    </row>
    <row r="20" spans="1:9">
      <c r="A20" s="1">
        <v>45667</v>
      </c>
      <c r="B20" t="s">
        <v>12</v>
      </c>
      <c r="C20" t="s">
        <v>48</v>
      </c>
      <c r="D20" s="33">
        <v>55.99</v>
      </c>
      <c r="E20" s="31">
        <v>2</v>
      </c>
      <c r="F20">
        <v>8</v>
      </c>
      <c r="G20" s="30">
        <v>111.98</v>
      </c>
      <c r="H20" s="30">
        <v>95.98</v>
      </c>
      <c r="I20" s="32">
        <v>0.85711734238256831</v>
      </c>
    </row>
    <row r="21" spans="1:9">
      <c r="A21" s="1">
        <v>45667</v>
      </c>
      <c r="B21" t="s">
        <v>0</v>
      </c>
      <c r="C21" t="s">
        <v>49</v>
      </c>
      <c r="D21" s="33">
        <v>1499.99</v>
      </c>
      <c r="E21" s="31">
        <v>1</v>
      </c>
      <c r="F21">
        <v>0</v>
      </c>
      <c r="G21" s="30">
        <v>1499.99</v>
      </c>
      <c r="H21" s="30">
        <v>1499.99</v>
      </c>
      <c r="I21" s="32">
        <v>1</v>
      </c>
    </row>
    <row r="22" spans="1:9">
      <c r="A22" s="1">
        <v>45668</v>
      </c>
      <c r="B22" t="s">
        <v>15</v>
      </c>
      <c r="C22" t="s">
        <v>49</v>
      </c>
      <c r="D22" s="33">
        <v>129.99</v>
      </c>
      <c r="E22" s="31">
        <v>1</v>
      </c>
      <c r="F22">
        <v>5</v>
      </c>
      <c r="G22" s="30">
        <v>129.99</v>
      </c>
      <c r="H22" s="30">
        <v>124.99000000000001</v>
      </c>
      <c r="I22" s="32">
        <v>0.96153550273097932</v>
      </c>
    </row>
    <row r="23" spans="1:9">
      <c r="A23" s="1">
        <v>45668</v>
      </c>
      <c r="B23" t="s">
        <v>16</v>
      </c>
      <c r="C23" t="s">
        <v>49</v>
      </c>
      <c r="D23" s="33">
        <v>199.99</v>
      </c>
      <c r="E23" s="31">
        <v>1</v>
      </c>
      <c r="F23">
        <v>14</v>
      </c>
      <c r="G23" s="30">
        <v>199.99</v>
      </c>
      <c r="H23" s="30">
        <v>185.99</v>
      </c>
      <c r="I23" s="32">
        <v>0.92999649982499122</v>
      </c>
    </row>
    <row r="24" spans="1:9">
      <c r="A24" s="1">
        <v>45669</v>
      </c>
      <c r="B24" t="s">
        <v>13</v>
      </c>
      <c r="C24" t="s">
        <v>48</v>
      </c>
      <c r="D24" s="33">
        <v>39.99</v>
      </c>
      <c r="E24" s="31">
        <v>2</v>
      </c>
      <c r="F24">
        <v>13</v>
      </c>
      <c r="G24" s="30">
        <v>79.98</v>
      </c>
      <c r="H24" s="30">
        <v>53.980000000000004</v>
      </c>
      <c r="I24" s="32">
        <v>0.67491872968242062</v>
      </c>
    </row>
    <row r="25" spans="1:9">
      <c r="A25" s="1">
        <v>45669</v>
      </c>
      <c r="B25" t="s">
        <v>14</v>
      </c>
      <c r="C25" t="s">
        <v>49</v>
      </c>
      <c r="D25" s="33">
        <v>499.99</v>
      </c>
      <c r="E25" s="31">
        <v>1</v>
      </c>
      <c r="F25">
        <v>2</v>
      </c>
      <c r="G25" s="30">
        <v>499.99</v>
      </c>
      <c r="H25" s="30">
        <v>497.99</v>
      </c>
      <c r="I25" s="32">
        <v>0.99599991999839999</v>
      </c>
    </row>
    <row r="26" spans="1:9">
      <c r="A26" s="1">
        <v>45670</v>
      </c>
      <c r="B26" t="s">
        <v>11</v>
      </c>
      <c r="C26" t="s">
        <v>48</v>
      </c>
      <c r="D26" s="33">
        <v>25.99</v>
      </c>
      <c r="E26" s="31">
        <v>2</v>
      </c>
      <c r="F26">
        <v>26</v>
      </c>
      <c r="G26" s="30">
        <v>51.98</v>
      </c>
      <c r="H26" s="30">
        <v>-2.0000000000003126E-2</v>
      </c>
      <c r="I26" s="32">
        <v>-3.8476337052718596E-4</v>
      </c>
    </row>
    <row r="27" spans="1:9">
      <c r="A27" s="1">
        <v>45670</v>
      </c>
      <c r="B27" t="s">
        <v>12</v>
      </c>
      <c r="C27" t="s">
        <v>48</v>
      </c>
      <c r="D27" s="33">
        <v>55.99</v>
      </c>
      <c r="E27" s="31">
        <v>1</v>
      </c>
      <c r="F27">
        <v>7</v>
      </c>
      <c r="G27" s="30">
        <v>55.99</v>
      </c>
      <c r="H27" s="30">
        <v>48.99</v>
      </c>
      <c r="I27" s="32">
        <v>0.87497767458474729</v>
      </c>
    </row>
    <row r="28" spans="1:9">
      <c r="A28" s="1">
        <v>45671</v>
      </c>
      <c r="B28" t="s">
        <v>0</v>
      </c>
      <c r="C28" t="s">
        <v>49</v>
      </c>
      <c r="D28" s="33">
        <v>1499.99</v>
      </c>
      <c r="E28" s="31">
        <v>1</v>
      </c>
      <c r="F28">
        <v>0</v>
      </c>
      <c r="G28" s="30">
        <v>1499.99</v>
      </c>
      <c r="H28" s="30">
        <v>1499.99</v>
      </c>
      <c r="I28" s="32">
        <v>1</v>
      </c>
    </row>
    <row r="29" spans="1:9">
      <c r="A29" s="1">
        <v>45671</v>
      </c>
      <c r="B29" t="s">
        <v>11</v>
      </c>
      <c r="C29" t="s">
        <v>48</v>
      </c>
      <c r="D29" s="33">
        <v>25.99</v>
      </c>
      <c r="E29" s="31">
        <v>4</v>
      </c>
      <c r="F29">
        <v>22</v>
      </c>
      <c r="G29" s="30">
        <v>103.96</v>
      </c>
      <c r="H29" s="30">
        <v>15.959999999999994</v>
      </c>
      <c r="I29" s="32">
        <v>0.15352058484032316</v>
      </c>
    </row>
    <row r="30" spans="1:9">
      <c r="A30" s="1">
        <v>45672</v>
      </c>
      <c r="B30" t="s">
        <v>16</v>
      </c>
      <c r="C30" t="s">
        <v>49</v>
      </c>
      <c r="D30" s="33">
        <v>199.99</v>
      </c>
      <c r="E30" s="31">
        <v>3</v>
      </c>
      <c r="F30">
        <v>11</v>
      </c>
      <c r="G30" s="30">
        <v>599.97</v>
      </c>
      <c r="H30" s="30">
        <v>566.97</v>
      </c>
      <c r="I30" s="32">
        <v>0.94499724986249312</v>
      </c>
    </row>
    <row r="31" spans="1:9">
      <c r="A31" s="1">
        <v>45672</v>
      </c>
      <c r="B31" t="s">
        <v>13</v>
      </c>
      <c r="C31" t="s">
        <v>48</v>
      </c>
      <c r="D31" s="33">
        <v>39.99</v>
      </c>
      <c r="E31" s="31">
        <v>2</v>
      </c>
      <c r="F31">
        <v>11</v>
      </c>
      <c r="G31" s="30">
        <v>79.98</v>
      </c>
      <c r="H31" s="30">
        <v>57.980000000000004</v>
      </c>
      <c r="I31" s="32">
        <v>0.72493123280820204</v>
      </c>
    </row>
    <row r="33" spans="11:11">
      <c r="K33" t="s">
        <v>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FC0F-0A98-43C6-A5ED-87139A9C0772}">
  <dimension ref="A1:I31"/>
  <sheetViews>
    <sheetView workbookViewId="0">
      <selection activeCell="G9" sqref="G9"/>
    </sheetView>
  </sheetViews>
  <sheetFormatPr baseColWidth="10" defaultRowHeight="15"/>
  <cols>
    <col min="6" max="6" width="12.28515625" customWidth="1"/>
    <col min="9" max="9" width="11.42578125" style="32"/>
  </cols>
  <sheetData>
    <row r="1" spans="1:9">
      <c r="A1" t="s">
        <v>17</v>
      </c>
      <c r="B1" t="s">
        <v>18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s="32" t="s">
        <v>26</v>
      </c>
    </row>
    <row r="2" spans="1:9">
      <c r="A2" s="1">
        <v>45658</v>
      </c>
      <c r="B2" t="s">
        <v>11</v>
      </c>
      <c r="C2" t="s">
        <v>19</v>
      </c>
      <c r="D2">
        <v>25.99</v>
      </c>
      <c r="E2">
        <v>2</v>
      </c>
      <c r="F2">
        <v>34</v>
      </c>
      <c r="G2">
        <f>tbl_ventas[[#This Row],[price]]*tbl_ventas[[#This Row],[quantity]]</f>
        <v>51.98</v>
      </c>
      <c r="H2">
        <f>tbl_ventas[[#This Row],[revenue]]-(tbl_ventas[[#This Row],[inventory]]*tbl_ventas[[#This Row],[quantity]])</f>
        <v>-16.020000000000003</v>
      </c>
      <c r="I2" s="32">
        <f>IFERROR(tbl_ventas[[#This Row],[profit]]/tbl_ventas[[#This Row],[revenue]],0)</f>
        <v>-0.30819545979222784</v>
      </c>
    </row>
    <row r="3" spans="1:9">
      <c r="A3" s="1">
        <v>45658</v>
      </c>
      <c r="B3" t="s">
        <v>12</v>
      </c>
      <c r="C3" t="s">
        <v>19</v>
      </c>
      <c r="D3">
        <v>55.99</v>
      </c>
      <c r="E3">
        <v>1</v>
      </c>
      <c r="F3">
        <v>12</v>
      </c>
      <c r="G3">
        <f>tbl_ventas[[#This Row],[price]]*tbl_ventas[[#This Row],[quantity]]</f>
        <v>55.99</v>
      </c>
      <c r="H3">
        <f>tbl_ventas[[#This Row],[revenue]]-(tbl_ventas[[#This Row],[inventory]]*tbl_ventas[[#This Row],[quantity]])</f>
        <v>43.99</v>
      </c>
      <c r="I3" s="32">
        <f>IFERROR(tbl_ventas[[#This Row],[profit]]/tbl_ventas[[#This Row],[revenue]],0)</f>
        <v>0.78567601357385253</v>
      </c>
    </row>
    <row r="4" spans="1:9">
      <c r="A4" s="1">
        <v>45659</v>
      </c>
      <c r="B4" t="s">
        <v>13</v>
      </c>
      <c r="C4" t="s">
        <v>19</v>
      </c>
      <c r="D4">
        <v>39.99</v>
      </c>
      <c r="E4">
        <v>3</v>
      </c>
      <c r="F4">
        <v>20</v>
      </c>
      <c r="G4">
        <f>tbl_ventas[[#This Row],[price]]*tbl_ventas[[#This Row],[quantity]]</f>
        <v>119.97</v>
      </c>
      <c r="H4">
        <f>tbl_ventas[[#This Row],[revenue]]-(tbl_ventas[[#This Row],[inventory]]*tbl_ventas[[#This Row],[quantity]])</f>
        <v>59.97</v>
      </c>
      <c r="I4" s="32">
        <f>IFERROR(tbl_ventas[[#This Row],[profit]]/tbl_ventas[[#This Row],[revenue]],0)</f>
        <v>0.49987496874218557</v>
      </c>
    </row>
    <row r="5" spans="1:9">
      <c r="A5" s="1">
        <v>45659</v>
      </c>
      <c r="B5" t="s">
        <v>14</v>
      </c>
      <c r="C5" t="s">
        <v>36</v>
      </c>
      <c r="D5">
        <v>499.99</v>
      </c>
      <c r="E5">
        <v>1</v>
      </c>
      <c r="F5">
        <v>5</v>
      </c>
      <c r="G5">
        <f>tbl_ventas[[#This Row],[price]]*tbl_ventas[[#This Row],[quantity]]</f>
        <v>499.99</v>
      </c>
      <c r="H5">
        <f>tbl_ventas[[#This Row],[revenue]]-(tbl_ventas[[#This Row],[inventory]]*tbl_ventas[[#This Row],[quantity]])</f>
        <v>494.99</v>
      </c>
      <c r="I5" s="32">
        <f>IFERROR(tbl_ventas[[#This Row],[profit]]/tbl_ventas[[#This Row],[revenue]],0)</f>
        <v>0.98999979999599996</v>
      </c>
    </row>
    <row r="6" spans="1:9">
      <c r="A6" s="1">
        <v>45660</v>
      </c>
      <c r="B6" t="s">
        <v>0</v>
      </c>
      <c r="C6" t="s">
        <v>36</v>
      </c>
      <c r="D6">
        <v>1499.99</v>
      </c>
      <c r="E6">
        <v>1</v>
      </c>
      <c r="F6">
        <v>2</v>
      </c>
      <c r="G6">
        <f>tbl_ventas[[#This Row],[price]]*tbl_ventas[[#This Row],[quantity]]</f>
        <v>1499.99</v>
      </c>
      <c r="H6">
        <f>tbl_ventas[[#This Row],[revenue]]-(tbl_ventas[[#This Row],[inventory]]*tbl_ventas[[#This Row],[quantity]])</f>
        <v>1497.99</v>
      </c>
      <c r="I6" s="32">
        <f>IFERROR(tbl_ventas[[#This Row],[profit]]/tbl_ventas[[#This Row],[revenue]],0)</f>
        <v>0.99866665777771857</v>
      </c>
    </row>
    <row r="7" spans="1:9">
      <c r="A7" s="1">
        <v>45660</v>
      </c>
      <c r="B7" t="s">
        <v>11</v>
      </c>
      <c r="C7" t="s">
        <v>19</v>
      </c>
      <c r="D7">
        <v>25.99</v>
      </c>
      <c r="E7">
        <v>1</v>
      </c>
      <c r="F7">
        <v>33</v>
      </c>
      <c r="G7">
        <f>tbl_ventas[[#This Row],[price]]*tbl_ventas[[#This Row],[quantity]]</f>
        <v>25.99</v>
      </c>
      <c r="H7">
        <f>tbl_ventas[[#This Row],[revenue]]-(tbl_ventas[[#This Row],[inventory]]*tbl_ventas[[#This Row],[quantity]])</f>
        <v>-7.0100000000000016</v>
      </c>
      <c r="I7" s="32">
        <f>IFERROR(tbl_ventas[[#This Row],[profit]]/tbl_ventas[[#This Row],[revenue]],0)</f>
        <v>-0.26971912273951526</v>
      </c>
    </row>
    <row r="8" spans="1:9">
      <c r="A8" s="1">
        <v>45661</v>
      </c>
      <c r="B8" t="s">
        <v>12</v>
      </c>
      <c r="C8" t="s">
        <v>19</v>
      </c>
      <c r="D8">
        <v>55.99</v>
      </c>
      <c r="E8">
        <v>2</v>
      </c>
      <c r="F8">
        <v>10</v>
      </c>
      <c r="G8">
        <f>tbl_ventas[[#This Row],[price]]*tbl_ventas[[#This Row],[quantity]]</f>
        <v>111.98</v>
      </c>
      <c r="H8">
        <f>tbl_ventas[[#This Row],[revenue]]-(tbl_ventas[[#This Row],[inventory]]*tbl_ventas[[#This Row],[quantity]])</f>
        <v>91.98</v>
      </c>
      <c r="I8" s="32">
        <f>IFERROR(tbl_ventas[[#This Row],[profit]]/tbl_ventas[[#This Row],[revenue]],0)</f>
        <v>0.82139667797821037</v>
      </c>
    </row>
    <row r="9" spans="1:9">
      <c r="A9" s="1">
        <v>45661</v>
      </c>
      <c r="B9" t="s">
        <v>15</v>
      </c>
      <c r="C9" t="s">
        <v>36</v>
      </c>
      <c r="D9">
        <v>129.99</v>
      </c>
      <c r="E9">
        <v>1</v>
      </c>
      <c r="F9">
        <v>8</v>
      </c>
      <c r="G9">
        <f>tbl_ventas[[#This Row],[price]]*tbl_ventas[[#This Row],[quantity]]</f>
        <v>129.99</v>
      </c>
      <c r="H9">
        <f>tbl_ventas[[#This Row],[revenue]]-(tbl_ventas[[#This Row],[inventory]]*tbl_ventas[[#This Row],[quantity]])</f>
        <v>121.99000000000001</v>
      </c>
      <c r="I9" s="32">
        <f>IFERROR(tbl_ventas[[#This Row],[profit]]/tbl_ventas[[#This Row],[revenue]],0)</f>
        <v>0.93845680436956691</v>
      </c>
    </row>
    <row r="10" spans="1:9">
      <c r="A10" s="1">
        <v>45662</v>
      </c>
      <c r="B10" t="s">
        <v>16</v>
      </c>
      <c r="C10" t="s">
        <v>36</v>
      </c>
      <c r="D10">
        <v>199.99</v>
      </c>
      <c r="E10">
        <v>2</v>
      </c>
      <c r="F10">
        <v>15</v>
      </c>
      <c r="G10">
        <f>tbl_ventas[[#This Row],[price]]*tbl_ventas[[#This Row],[quantity]]</f>
        <v>399.98</v>
      </c>
      <c r="H10">
        <f>tbl_ventas[[#This Row],[revenue]]-(tbl_ventas[[#This Row],[inventory]]*tbl_ventas[[#This Row],[quantity]])</f>
        <v>369.98</v>
      </c>
      <c r="I10" s="32">
        <f>IFERROR(tbl_ventas[[#This Row],[profit]]/tbl_ventas[[#This Row],[revenue]],0)</f>
        <v>0.92499624981249062</v>
      </c>
    </row>
    <row r="11" spans="1:9">
      <c r="A11" s="1">
        <v>45662</v>
      </c>
      <c r="B11" t="s">
        <v>13</v>
      </c>
      <c r="C11" t="s">
        <v>19</v>
      </c>
      <c r="D11">
        <v>39.99</v>
      </c>
      <c r="E11">
        <v>1</v>
      </c>
      <c r="F11">
        <v>19</v>
      </c>
      <c r="G11">
        <f>tbl_ventas[[#This Row],[price]]*tbl_ventas[[#This Row],[quantity]]</f>
        <v>39.99</v>
      </c>
      <c r="H11">
        <f>tbl_ventas[[#This Row],[revenue]]-(tbl_ventas[[#This Row],[inventory]]*tbl_ventas[[#This Row],[quantity]])</f>
        <v>20.990000000000002</v>
      </c>
      <c r="I11" s="32">
        <f>IFERROR(tbl_ventas[[#This Row],[profit]]/tbl_ventas[[#This Row],[revenue]],0)</f>
        <v>0.52488122030507633</v>
      </c>
    </row>
    <row r="12" spans="1:9">
      <c r="A12" s="1">
        <v>45663</v>
      </c>
      <c r="B12" t="s">
        <v>14</v>
      </c>
      <c r="C12" t="s">
        <v>36</v>
      </c>
      <c r="D12">
        <v>499.99</v>
      </c>
      <c r="E12">
        <v>1</v>
      </c>
      <c r="F12">
        <v>4</v>
      </c>
      <c r="G12">
        <f>tbl_ventas[[#This Row],[price]]*tbl_ventas[[#This Row],[quantity]]</f>
        <v>499.99</v>
      </c>
      <c r="H12">
        <f>tbl_ventas[[#This Row],[revenue]]-(tbl_ventas[[#This Row],[inventory]]*tbl_ventas[[#This Row],[quantity]])</f>
        <v>495.99</v>
      </c>
      <c r="I12" s="32">
        <f>IFERROR(tbl_ventas[[#This Row],[profit]]/tbl_ventas[[#This Row],[revenue]],0)</f>
        <v>0.99199983999679997</v>
      </c>
    </row>
    <row r="13" spans="1:9">
      <c r="A13" s="1">
        <v>45663</v>
      </c>
      <c r="B13" t="s">
        <v>11</v>
      </c>
      <c r="C13" t="s">
        <v>19</v>
      </c>
      <c r="D13">
        <v>25.99</v>
      </c>
      <c r="E13">
        <v>3</v>
      </c>
      <c r="F13">
        <v>30</v>
      </c>
      <c r="G13">
        <f>tbl_ventas[[#This Row],[price]]*tbl_ventas[[#This Row],[quantity]]</f>
        <v>77.97</v>
      </c>
      <c r="H13">
        <f>tbl_ventas[[#This Row],[revenue]]-(tbl_ventas[[#This Row],[inventory]]*tbl_ventas[[#This Row],[quantity]])</f>
        <v>-12.030000000000001</v>
      </c>
      <c r="I13" s="32">
        <f>IFERROR(tbl_ventas[[#This Row],[profit]]/tbl_ventas[[#This Row],[revenue]],0)</f>
        <v>-0.15429011158137748</v>
      </c>
    </row>
    <row r="14" spans="1:9">
      <c r="A14" s="1">
        <v>45664</v>
      </c>
      <c r="B14" t="s">
        <v>12</v>
      </c>
      <c r="C14" t="s">
        <v>19</v>
      </c>
      <c r="D14">
        <v>55.99</v>
      </c>
      <c r="E14">
        <v>1</v>
      </c>
      <c r="F14">
        <v>9</v>
      </c>
      <c r="G14">
        <f>tbl_ventas[[#This Row],[price]]*tbl_ventas[[#This Row],[quantity]]</f>
        <v>55.99</v>
      </c>
      <c r="H14">
        <f>tbl_ventas[[#This Row],[revenue]]-(tbl_ventas[[#This Row],[inventory]]*tbl_ventas[[#This Row],[quantity]])</f>
        <v>46.99</v>
      </c>
      <c r="I14" s="32">
        <f>IFERROR(tbl_ventas[[#This Row],[profit]]/tbl_ventas[[#This Row],[revenue]],0)</f>
        <v>0.83925701018038934</v>
      </c>
    </row>
    <row r="15" spans="1:9">
      <c r="A15" s="1">
        <v>45664</v>
      </c>
      <c r="B15" t="s">
        <v>0</v>
      </c>
      <c r="C15" t="s">
        <v>36</v>
      </c>
      <c r="D15">
        <v>1499.99</v>
      </c>
      <c r="E15">
        <v>1</v>
      </c>
      <c r="F15">
        <v>1</v>
      </c>
      <c r="G15">
        <f>tbl_ventas[[#This Row],[price]]*tbl_ventas[[#This Row],[quantity]]</f>
        <v>1499.99</v>
      </c>
      <c r="H15">
        <f>tbl_ventas[[#This Row],[revenue]]-(tbl_ventas[[#This Row],[inventory]]*tbl_ventas[[#This Row],[quantity]])</f>
        <v>1498.99</v>
      </c>
      <c r="I15" s="32">
        <f>IFERROR(tbl_ventas[[#This Row],[profit]]/tbl_ventas[[#This Row],[revenue]],0)</f>
        <v>0.99933332888885928</v>
      </c>
    </row>
    <row r="16" spans="1:9">
      <c r="A16" s="1">
        <v>45665</v>
      </c>
      <c r="B16" t="s">
        <v>15</v>
      </c>
      <c r="C16" t="s">
        <v>36</v>
      </c>
      <c r="D16">
        <v>129.99</v>
      </c>
      <c r="E16">
        <v>2</v>
      </c>
      <c r="F16">
        <v>6</v>
      </c>
      <c r="G16">
        <f>tbl_ventas[[#This Row],[price]]*tbl_ventas[[#This Row],[quantity]]</f>
        <v>259.98</v>
      </c>
      <c r="H16">
        <f>tbl_ventas[[#This Row],[revenue]]-(tbl_ventas[[#This Row],[inventory]]*tbl_ventas[[#This Row],[quantity]])</f>
        <v>247.98000000000002</v>
      </c>
      <c r="I16" s="32">
        <f>IFERROR(tbl_ventas[[#This Row],[profit]]/tbl_ventas[[#This Row],[revenue]],0)</f>
        <v>0.95384260327717518</v>
      </c>
    </row>
    <row r="17" spans="1:9">
      <c r="A17" s="1">
        <v>45665</v>
      </c>
      <c r="B17" t="s">
        <v>13</v>
      </c>
      <c r="C17" t="s">
        <v>19</v>
      </c>
      <c r="D17">
        <v>39.99</v>
      </c>
      <c r="E17">
        <v>4</v>
      </c>
      <c r="F17">
        <v>15</v>
      </c>
      <c r="G17">
        <f>tbl_ventas[[#This Row],[price]]*tbl_ventas[[#This Row],[quantity]]</f>
        <v>159.96</v>
      </c>
      <c r="H17">
        <f>tbl_ventas[[#This Row],[revenue]]-(tbl_ventas[[#This Row],[inventory]]*tbl_ventas[[#This Row],[quantity]])</f>
        <v>99.960000000000008</v>
      </c>
      <c r="I17" s="32">
        <f>IFERROR(tbl_ventas[[#This Row],[profit]]/tbl_ventas[[#This Row],[revenue]],0)</f>
        <v>0.62490622655663919</v>
      </c>
    </row>
    <row r="18" spans="1:9">
      <c r="A18" s="1">
        <v>45666</v>
      </c>
      <c r="B18" t="s">
        <v>14</v>
      </c>
      <c r="C18" t="s">
        <v>36</v>
      </c>
      <c r="D18">
        <v>499.99</v>
      </c>
      <c r="E18">
        <v>1</v>
      </c>
      <c r="F18">
        <v>3</v>
      </c>
      <c r="G18">
        <f>tbl_ventas[[#This Row],[price]]*tbl_ventas[[#This Row],[quantity]]</f>
        <v>499.99</v>
      </c>
      <c r="H18">
        <f>tbl_ventas[[#This Row],[revenue]]-(tbl_ventas[[#This Row],[inventory]]*tbl_ventas[[#This Row],[quantity]])</f>
        <v>496.99</v>
      </c>
      <c r="I18" s="32">
        <f>IFERROR(tbl_ventas[[#This Row],[profit]]/tbl_ventas[[#This Row],[revenue]],0)</f>
        <v>0.99399987999759998</v>
      </c>
    </row>
    <row r="19" spans="1:9">
      <c r="A19" s="1">
        <v>45666</v>
      </c>
      <c r="B19" t="s">
        <v>11</v>
      </c>
      <c r="C19" t="s">
        <v>19</v>
      </c>
      <c r="D19">
        <v>25.99</v>
      </c>
      <c r="E19">
        <v>2</v>
      </c>
      <c r="F19">
        <v>28</v>
      </c>
      <c r="G19">
        <f>tbl_ventas[[#This Row],[price]]*tbl_ventas[[#This Row],[quantity]]</f>
        <v>51.98</v>
      </c>
      <c r="H19">
        <f>tbl_ventas[[#This Row],[revenue]]-(tbl_ventas[[#This Row],[inventory]]*tbl_ventas[[#This Row],[quantity]])</f>
        <v>-4.0200000000000031</v>
      </c>
      <c r="I19" s="32">
        <f>IFERROR(tbl_ventas[[#This Row],[profit]]/tbl_ventas[[#This Row],[revenue]],0)</f>
        <v>-7.7337437475952356E-2</v>
      </c>
    </row>
    <row r="20" spans="1:9">
      <c r="A20" s="1">
        <v>45667</v>
      </c>
      <c r="B20" t="s">
        <v>12</v>
      </c>
      <c r="C20" t="s">
        <v>19</v>
      </c>
      <c r="D20">
        <v>55.99</v>
      </c>
      <c r="E20">
        <v>2</v>
      </c>
      <c r="F20">
        <v>8</v>
      </c>
      <c r="G20">
        <f>tbl_ventas[[#This Row],[price]]*tbl_ventas[[#This Row],[quantity]]</f>
        <v>111.98</v>
      </c>
      <c r="H20">
        <f>tbl_ventas[[#This Row],[revenue]]-(tbl_ventas[[#This Row],[inventory]]*tbl_ventas[[#This Row],[quantity]])</f>
        <v>95.98</v>
      </c>
      <c r="I20" s="32">
        <f>IFERROR(tbl_ventas[[#This Row],[profit]]/tbl_ventas[[#This Row],[revenue]],0)</f>
        <v>0.85711734238256831</v>
      </c>
    </row>
    <row r="21" spans="1:9">
      <c r="A21" s="1">
        <v>45667</v>
      </c>
      <c r="B21" t="s">
        <v>0</v>
      </c>
      <c r="C21" t="s">
        <v>36</v>
      </c>
      <c r="D21">
        <v>1499.99</v>
      </c>
      <c r="E21">
        <v>1</v>
      </c>
      <c r="F21">
        <v>0</v>
      </c>
      <c r="G21">
        <f>tbl_ventas[[#This Row],[price]]*tbl_ventas[[#This Row],[quantity]]</f>
        <v>1499.99</v>
      </c>
      <c r="H21">
        <f>tbl_ventas[[#This Row],[revenue]]-(tbl_ventas[[#This Row],[inventory]]*tbl_ventas[[#This Row],[quantity]])</f>
        <v>1499.99</v>
      </c>
      <c r="I21" s="32">
        <f>IFERROR(tbl_ventas[[#This Row],[profit]]/tbl_ventas[[#This Row],[revenue]],0)</f>
        <v>1</v>
      </c>
    </row>
    <row r="22" spans="1:9">
      <c r="A22" s="1">
        <v>45668</v>
      </c>
      <c r="B22" t="s">
        <v>15</v>
      </c>
      <c r="C22" t="s">
        <v>36</v>
      </c>
      <c r="D22">
        <v>129.99</v>
      </c>
      <c r="E22">
        <v>1</v>
      </c>
      <c r="F22">
        <v>5</v>
      </c>
      <c r="G22">
        <f>tbl_ventas[[#This Row],[price]]*tbl_ventas[[#This Row],[quantity]]</f>
        <v>129.99</v>
      </c>
      <c r="H22">
        <f>tbl_ventas[[#This Row],[revenue]]-(tbl_ventas[[#This Row],[inventory]]*tbl_ventas[[#This Row],[quantity]])</f>
        <v>124.99000000000001</v>
      </c>
      <c r="I22" s="32">
        <f>IFERROR(tbl_ventas[[#This Row],[profit]]/tbl_ventas[[#This Row],[revenue]],0)</f>
        <v>0.96153550273097932</v>
      </c>
    </row>
    <row r="23" spans="1:9">
      <c r="A23" s="1">
        <v>45668</v>
      </c>
      <c r="B23" t="s">
        <v>16</v>
      </c>
      <c r="C23" t="s">
        <v>36</v>
      </c>
      <c r="D23">
        <v>199.99</v>
      </c>
      <c r="E23">
        <v>1</v>
      </c>
      <c r="F23">
        <v>14</v>
      </c>
      <c r="G23">
        <f>tbl_ventas[[#This Row],[price]]*tbl_ventas[[#This Row],[quantity]]</f>
        <v>199.99</v>
      </c>
      <c r="H23">
        <f>tbl_ventas[[#This Row],[revenue]]-(tbl_ventas[[#This Row],[inventory]]*tbl_ventas[[#This Row],[quantity]])</f>
        <v>185.99</v>
      </c>
      <c r="I23" s="32">
        <f>IFERROR(tbl_ventas[[#This Row],[profit]]/tbl_ventas[[#This Row],[revenue]],0)</f>
        <v>0.92999649982499122</v>
      </c>
    </row>
    <row r="24" spans="1:9">
      <c r="A24" s="1">
        <v>45669</v>
      </c>
      <c r="B24" t="s">
        <v>13</v>
      </c>
      <c r="C24" t="s">
        <v>19</v>
      </c>
      <c r="D24">
        <v>39.99</v>
      </c>
      <c r="E24">
        <v>2</v>
      </c>
      <c r="F24">
        <v>13</v>
      </c>
      <c r="G24">
        <f>tbl_ventas[[#This Row],[price]]*tbl_ventas[[#This Row],[quantity]]</f>
        <v>79.98</v>
      </c>
      <c r="H24">
        <f>tbl_ventas[[#This Row],[revenue]]-(tbl_ventas[[#This Row],[inventory]]*tbl_ventas[[#This Row],[quantity]])</f>
        <v>53.980000000000004</v>
      </c>
      <c r="I24" s="32">
        <f>IFERROR(tbl_ventas[[#This Row],[profit]]/tbl_ventas[[#This Row],[revenue]],0)</f>
        <v>0.67491872968242062</v>
      </c>
    </row>
    <row r="25" spans="1:9">
      <c r="A25" s="1">
        <v>45669</v>
      </c>
      <c r="B25" t="s">
        <v>14</v>
      </c>
      <c r="C25" t="s">
        <v>36</v>
      </c>
      <c r="D25">
        <v>499.99</v>
      </c>
      <c r="E25">
        <v>1</v>
      </c>
      <c r="F25">
        <v>2</v>
      </c>
      <c r="G25">
        <f>tbl_ventas[[#This Row],[price]]*tbl_ventas[[#This Row],[quantity]]</f>
        <v>499.99</v>
      </c>
      <c r="H25">
        <f>tbl_ventas[[#This Row],[revenue]]-(tbl_ventas[[#This Row],[inventory]]*tbl_ventas[[#This Row],[quantity]])</f>
        <v>497.99</v>
      </c>
      <c r="I25" s="32">
        <f>IFERROR(tbl_ventas[[#This Row],[profit]]/tbl_ventas[[#This Row],[revenue]],0)</f>
        <v>0.99599991999839999</v>
      </c>
    </row>
    <row r="26" spans="1:9">
      <c r="A26" s="1">
        <v>45670</v>
      </c>
      <c r="B26" t="s">
        <v>11</v>
      </c>
      <c r="C26" t="s">
        <v>19</v>
      </c>
      <c r="D26">
        <v>25.99</v>
      </c>
      <c r="E26">
        <v>2</v>
      </c>
      <c r="F26">
        <v>26</v>
      </c>
      <c r="G26">
        <f>tbl_ventas[[#This Row],[price]]*tbl_ventas[[#This Row],[quantity]]</f>
        <v>51.98</v>
      </c>
      <c r="H26">
        <f>tbl_ventas[[#This Row],[revenue]]-(tbl_ventas[[#This Row],[inventory]]*tbl_ventas[[#This Row],[quantity]])</f>
        <v>-2.0000000000003126E-2</v>
      </c>
      <c r="I26" s="32">
        <f>IFERROR(tbl_ventas[[#This Row],[profit]]/tbl_ventas[[#This Row],[revenue]],0)</f>
        <v>-3.8476337052718596E-4</v>
      </c>
    </row>
    <row r="27" spans="1:9">
      <c r="A27" s="1">
        <v>45670</v>
      </c>
      <c r="B27" t="s">
        <v>12</v>
      </c>
      <c r="C27" t="s">
        <v>19</v>
      </c>
      <c r="D27">
        <v>55.99</v>
      </c>
      <c r="E27">
        <v>1</v>
      </c>
      <c r="F27">
        <v>7</v>
      </c>
      <c r="G27">
        <f>tbl_ventas[[#This Row],[price]]*tbl_ventas[[#This Row],[quantity]]</f>
        <v>55.99</v>
      </c>
      <c r="H27">
        <f>tbl_ventas[[#This Row],[revenue]]-(tbl_ventas[[#This Row],[inventory]]*tbl_ventas[[#This Row],[quantity]])</f>
        <v>48.99</v>
      </c>
      <c r="I27" s="32">
        <f>IFERROR(tbl_ventas[[#This Row],[profit]]/tbl_ventas[[#This Row],[revenue]],0)</f>
        <v>0.87497767458474729</v>
      </c>
    </row>
    <row r="28" spans="1:9">
      <c r="A28" s="1">
        <v>45671</v>
      </c>
      <c r="B28" t="s">
        <v>0</v>
      </c>
      <c r="C28" t="s">
        <v>36</v>
      </c>
      <c r="D28">
        <v>1499.99</v>
      </c>
      <c r="E28">
        <v>1</v>
      </c>
      <c r="F28">
        <v>0</v>
      </c>
      <c r="G28">
        <f>tbl_ventas[[#This Row],[price]]*tbl_ventas[[#This Row],[quantity]]</f>
        <v>1499.99</v>
      </c>
      <c r="H28">
        <f>tbl_ventas[[#This Row],[revenue]]-(tbl_ventas[[#This Row],[inventory]]*tbl_ventas[[#This Row],[quantity]])</f>
        <v>1499.99</v>
      </c>
      <c r="I28" s="32">
        <f>IFERROR(tbl_ventas[[#This Row],[profit]]/tbl_ventas[[#This Row],[revenue]],0)</f>
        <v>1</v>
      </c>
    </row>
    <row r="29" spans="1:9">
      <c r="A29" s="1">
        <v>45671</v>
      </c>
      <c r="B29" t="s">
        <v>11</v>
      </c>
      <c r="C29" t="s">
        <v>19</v>
      </c>
      <c r="D29">
        <v>25.99</v>
      </c>
      <c r="E29">
        <v>4</v>
      </c>
      <c r="F29">
        <v>22</v>
      </c>
      <c r="G29">
        <f>tbl_ventas[[#This Row],[price]]*tbl_ventas[[#This Row],[quantity]]</f>
        <v>103.96</v>
      </c>
      <c r="H29">
        <f>tbl_ventas[[#This Row],[revenue]]-(tbl_ventas[[#This Row],[inventory]]*tbl_ventas[[#This Row],[quantity]])</f>
        <v>15.959999999999994</v>
      </c>
      <c r="I29" s="32">
        <f>IFERROR(tbl_ventas[[#This Row],[profit]]/tbl_ventas[[#This Row],[revenue]],0)</f>
        <v>0.15352058484032316</v>
      </c>
    </row>
    <row r="30" spans="1:9">
      <c r="A30" s="1">
        <v>45672</v>
      </c>
      <c r="B30" t="s">
        <v>16</v>
      </c>
      <c r="C30" t="s">
        <v>36</v>
      </c>
      <c r="D30">
        <v>199.99</v>
      </c>
      <c r="E30">
        <v>3</v>
      </c>
      <c r="F30">
        <v>11</v>
      </c>
      <c r="G30">
        <f>tbl_ventas[[#This Row],[price]]*tbl_ventas[[#This Row],[quantity]]</f>
        <v>599.97</v>
      </c>
      <c r="H30">
        <f>tbl_ventas[[#This Row],[revenue]]-(tbl_ventas[[#This Row],[inventory]]*tbl_ventas[[#This Row],[quantity]])</f>
        <v>566.97</v>
      </c>
      <c r="I30" s="32">
        <f>IFERROR(tbl_ventas[[#This Row],[profit]]/tbl_ventas[[#This Row],[revenue]],0)</f>
        <v>0.94499724986249312</v>
      </c>
    </row>
    <row r="31" spans="1:9">
      <c r="A31" s="1">
        <v>45672</v>
      </c>
      <c r="B31" t="s">
        <v>13</v>
      </c>
      <c r="C31" t="s">
        <v>19</v>
      </c>
      <c r="D31">
        <v>39.99</v>
      </c>
      <c r="E31">
        <v>2</v>
      </c>
      <c r="F31">
        <v>11</v>
      </c>
      <c r="G31">
        <f>tbl_ventas[[#This Row],[price]]*tbl_ventas[[#This Row],[quantity]]</f>
        <v>79.98</v>
      </c>
      <c r="H31">
        <f>tbl_ventas[[#This Row],[revenue]]-(tbl_ventas[[#This Row],[inventory]]*tbl_ventas[[#This Row],[quantity]])</f>
        <v>57.980000000000004</v>
      </c>
      <c r="I31" s="32">
        <f>IFERROR(tbl_ventas[[#This Row],[profit]]/tbl_ventas[[#This Row],[revenue]],0)</f>
        <v>0.72493123280820204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D08E-A807-4FAC-ADDD-43B8369AD551}">
  <dimension ref="A1:G18"/>
  <sheetViews>
    <sheetView tabSelected="1" topLeftCell="A5" workbookViewId="0">
      <selection activeCell="F12" sqref="F12"/>
    </sheetView>
  </sheetViews>
  <sheetFormatPr baseColWidth="10" defaultRowHeight="15"/>
  <cols>
    <col min="1" max="1" width="16.28515625" customWidth="1"/>
    <col min="2" max="2" width="27.28515625" customWidth="1"/>
  </cols>
  <sheetData>
    <row r="1" spans="1:7">
      <c r="A1" s="2" t="s">
        <v>1</v>
      </c>
      <c r="B1" s="2" t="s">
        <v>2</v>
      </c>
    </row>
    <row r="2" spans="1:7">
      <c r="A2" s="3" t="s">
        <v>3</v>
      </c>
      <c r="B2" s="3"/>
    </row>
    <row r="3" spans="1:7">
      <c r="A3" s="3" t="s">
        <v>28</v>
      </c>
      <c r="B3" s="27">
        <f>SUM(tbl_ventas[revenue])</f>
        <v>10955.489999999996</v>
      </c>
    </row>
    <row r="4" spans="1:7" ht="45" customHeight="1">
      <c r="A4" s="3" t="s">
        <v>34</v>
      </c>
      <c r="B4" s="29" t="s">
        <v>36</v>
      </c>
      <c r="G4" s="16"/>
    </row>
    <row r="5" spans="1:7" ht="45" customHeight="1">
      <c r="A5" s="3" t="s">
        <v>29</v>
      </c>
      <c r="B5" s="37" t="s">
        <v>13</v>
      </c>
      <c r="C5" s="38">
        <f>_xlfn.XLOOKUP(B5,tbl_ventas[product],tbl_ventas[price])</f>
        <v>39.99</v>
      </c>
      <c r="E5" s="36"/>
    </row>
    <row r="6" spans="1:7">
      <c r="A6" s="3" t="s">
        <v>30</v>
      </c>
      <c r="B6" s="27">
        <f>AVERAGE(tbl_ventas[revenue])</f>
        <v>365.18299999999988</v>
      </c>
    </row>
    <row r="7" spans="1:7">
      <c r="A7" s="3" t="s">
        <v>31</v>
      </c>
      <c r="B7" s="3">
        <f>SUM(tbl_ventas[inventory])</f>
        <v>373</v>
      </c>
    </row>
    <row r="8" spans="1:7" ht="30">
      <c r="A8" s="3" t="s">
        <v>43</v>
      </c>
      <c r="B8" s="3">
        <f>COUNTIF(tbl_ventas[inventory], "&lt;20")</f>
        <v>23</v>
      </c>
    </row>
    <row r="10" spans="1:7">
      <c r="A10" t="s">
        <v>44</v>
      </c>
      <c r="B10" s="6">
        <v>45658</v>
      </c>
    </row>
    <row r="11" spans="1:7">
      <c r="A11" t="s">
        <v>45</v>
      </c>
      <c r="B11" s="28">
        <v>45688</v>
      </c>
    </row>
    <row r="13" spans="1:7">
      <c r="A13" t="s">
        <v>51</v>
      </c>
      <c r="B13" s="34">
        <f>SUMIFS(tbl_ventas[revenue],tbl_ventas[category],"Electronics",tbl_ventas[date],"&gt;="&amp;$B$10,tbl_ventas[date],"&lt;="&amp;$B$11)</f>
        <v>1235.67</v>
      </c>
    </row>
    <row r="14" spans="1:7">
      <c r="A14" t="s">
        <v>52</v>
      </c>
      <c r="B14" s="35">
        <f>SUMIFS(tbl_ventas[revenue],tbl_ventas[category],"Computers",tbl_ventas[date],"&gt;="&amp;$B$10,tbl_ventas[date],"&lt;="&amp;$B$11)</f>
        <v>9719.8199999999979</v>
      </c>
    </row>
    <row r="15" spans="1:7">
      <c r="A15" t="s">
        <v>53</v>
      </c>
      <c r="B15" s="35">
        <f>SUMIFS(tbl_ventas[profit],tbl_ventas[category],"Electronics",tbl_ventas[date],"&gt;="&amp;$B$10,tbl_ventas[date],"&lt;="&amp;$B$11)</f>
        <v>597.67000000000019</v>
      </c>
    </row>
    <row r="16" spans="1:7">
      <c r="A16" t="s">
        <v>54</v>
      </c>
      <c r="B16" s="35">
        <f>SUMIFS(tbl_ventas[profit],tbl_ventas[category],"Computers",tbl_ventas[date],"&gt;="&amp;$B$10,tbl_ventas[date],"&lt;="&amp;$B$11)</f>
        <v>9600.8199999999979</v>
      </c>
    </row>
    <row r="17" spans="1:2">
      <c r="A17" t="s">
        <v>55</v>
      </c>
      <c r="B17" s="32">
        <f>AVERAGEIFS(tbl_ventas[margin_pct],tbl_ventas[category],"Electronics",tbl_ventas[date],"&gt;="&amp;$B$10,tbl_ventas[date],"&lt;="&amp;$B$11)</f>
        <v>0.41072067416718838</v>
      </c>
    </row>
    <row r="18" spans="1:2">
      <c r="A18" t="s">
        <v>56</v>
      </c>
      <c r="B18" s="32">
        <f>AVERAGEIFS(tbl_ventas[margin_pct],tbl_ventas[category],"Computers",tbl_ventas[date],"&gt;="&amp;$B$10,tbl_ventas[date],"&lt;="&amp;$B$11)</f>
        <v>0.97313030975236248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DC3B5-E423-408B-88FE-F8C3E24A2F7E}">
  <dimension ref="A10:B26"/>
  <sheetViews>
    <sheetView topLeftCell="A10" zoomScale="87" zoomScaleNormal="87" workbookViewId="0">
      <selection activeCell="A26" sqref="A26"/>
    </sheetView>
  </sheetViews>
  <sheetFormatPr baseColWidth="10" defaultRowHeight="15"/>
  <cols>
    <col min="1" max="1" width="17.85546875" bestFit="1" customWidth="1"/>
    <col min="2" max="2" width="14" bestFit="1" customWidth="1"/>
    <col min="3" max="3" width="23.5703125" bestFit="1" customWidth="1"/>
  </cols>
  <sheetData>
    <row r="10" spans="1:2">
      <c r="A10" s="4" t="s">
        <v>46</v>
      </c>
      <c r="B10" t="s">
        <v>42</v>
      </c>
    </row>
    <row r="11" spans="1:2">
      <c r="A11" s="6">
        <v>45658</v>
      </c>
      <c r="B11">
        <v>107.97</v>
      </c>
    </row>
    <row r="12" spans="1:2">
      <c r="A12" s="6">
        <v>45659</v>
      </c>
      <c r="B12">
        <v>619.96</v>
      </c>
    </row>
    <row r="13" spans="1:2">
      <c r="A13" s="6">
        <v>45660</v>
      </c>
      <c r="B13">
        <v>1525.98</v>
      </c>
    </row>
    <row r="14" spans="1:2">
      <c r="A14" s="6">
        <v>45661</v>
      </c>
      <c r="B14">
        <v>241.97000000000003</v>
      </c>
    </row>
    <row r="15" spans="1:2">
      <c r="A15" s="6">
        <v>45662</v>
      </c>
      <c r="B15">
        <v>439.97</v>
      </c>
    </row>
    <row r="16" spans="1:2">
      <c r="A16" s="6">
        <v>45663</v>
      </c>
      <c r="B16">
        <v>577.96</v>
      </c>
    </row>
    <row r="17" spans="1:2">
      <c r="A17" s="6">
        <v>45664</v>
      </c>
      <c r="B17">
        <v>1555.98</v>
      </c>
    </row>
    <row r="18" spans="1:2">
      <c r="A18" s="6">
        <v>45665</v>
      </c>
      <c r="B18">
        <v>419.94000000000005</v>
      </c>
    </row>
    <row r="19" spans="1:2">
      <c r="A19" s="6">
        <v>45666</v>
      </c>
      <c r="B19">
        <v>551.97</v>
      </c>
    </row>
    <row r="20" spans="1:2">
      <c r="A20" s="6">
        <v>45667</v>
      </c>
      <c r="B20">
        <v>1611.97</v>
      </c>
    </row>
    <row r="21" spans="1:2">
      <c r="A21" s="6">
        <v>45668</v>
      </c>
      <c r="B21">
        <v>329.98</v>
      </c>
    </row>
    <row r="22" spans="1:2">
      <c r="A22" s="6">
        <v>45669</v>
      </c>
      <c r="B22">
        <v>579.97</v>
      </c>
    </row>
    <row r="23" spans="1:2">
      <c r="A23" s="6">
        <v>45670</v>
      </c>
      <c r="B23">
        <v>107.97</v>
      </c>
    </row>
    <row r="24" spans="1:2">
      <c r="A24" s="6">
        <v>45671</v>
      </c>
      <c r="B24">
        <v>1603.95</v>
      </c>
    </row>
    <row r="25" spans="1:2">
      <c r="A25" s="6">
        <v>45672</v>
      </c>
      <c r="B25">
        <v>679.95</v>
      </c>
    </row>
    <row r="26" spans="1:2">
      <c r="A26" s="6" t="s">
        <v>47</v>
      </c>
      <c r="B26">
        <v>10955.490000000002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7D267-00F7-4D21-A1DF-F5E9AB625826}">
  <sheetPr>
    <pageSetUpPr fitToPage="1"/>
  </sheetPr>
  <dimension ref="A1:B22"/>
  <sheetViews>
    <sheetView topLeftCell="A10" zoomScale="106" zoomScaleNormal="106" workbookViewId="0">
      <selection activeCell="J5" sqref="J5"/>
    </sheetView>
  </sheetViews>
  <sheetFormatPr baseColWidth="10" defaultRowHeight="15"/>
  <cols>
    <col min="1" max="1" width="29.85546875" customWidth="1"/>
    <col min="2" max="2" width="18.28515625" customWidth="1"/>
  </cols>
  <sheetData>
    <row r="1" spans="1:2" ht="34.5">
      <c r="A1" s="7" t="s">
        <v>9</v>
      </c>
    </row>
    <row r="3" spans="1:2" ht="15.75">
      <c r="A3" s="8" t="s">
        <v>3</v>
      </c>
      <c r="B3" s="3"/>
    </row>
    <row r="4" spans="1:2">
      <c r="A4" s="3" t="s">
        <v>4</v>
      </c>
      <c r="B4" s="11">
        <f>KPIs!B3</f>
        <v>10955.489999999996</v>
      </c>
    </row>
    <row r="5" spans="1:2">
      <c r="A5" s="3" t="s">
        <v>5</v>
      </c>
      <c r="B5" s="9" t="str">
        <f>KPIs!B4</f>
        <v>Computers</v>
      </c>
    </row>
    <row r="6" spans="1:2" ht="30">
      <c r="A6" s="3" t="s">
        <v>10</v>
      </c>
      <c r="B6" s="9" t="str">
        <f>SUBSTITUTE(KPIs!B5,"AudÃ­fonos","Audífonos")</f>
        <v>Bluetooth Headphones</v>
      </c>
    </row>
    <row r="7" spans="1:2">
      <c r="A7" s="3" t="s">
        <v>6</v>
      </c>
      <c r="B7" s="11">
        <f>KPIs!B6</f>
        <v>365.18299999999988</v>
      </c>
    </row>
    <row r="8" spans="1:2">
      <c r="A8" s="3" t="s">
        <v>7</v>
      </c>
      <c r="B8" s="10">
        <f>KPIs!B7</f>
        <v>373</v>
      </c>
    </row>
    <row r="9" spans="1:2">
      <c r="A9" s="3" t="s">
        <v>8</v>
      </c>
      <c r="B9" s="10">
        <f>KPIs!B8</f>
        <v>23</v>
      </c>
    </row>
    <row r="13" spans="1:2">
      <c r="B13" s="12">
        <f>B4</f>
        <v>10955.489999999996</v>
      </c>
    </row>
    <row r="14" spans="1:2" ht="14.25" customHeight="1">
      <c r="B14" s="12"/>
    </row>
    <row r="15" spans="1:2">
      <c r="B15" t="str">
        <f>B5</f>
        <v>Computers</v>
      </c>
    </row>
    <row r="16" spans="1:2">
      <c r="B16" s="5"/>
    </row>
    <row r="17" spans="2:2">
      <c r="B17" t="str">
        <f>B6</f>
        <v>Bluetooth Headphones</v>
      </c>
    </row>
    <row r="19" spans="2:2">
      <c r="B19" s="12">
        <f>B7</f>
        <v>365.18299999999988</v>
      </c>
    </row>
    <row r="20" spans="2:2">
      <c r="B20" s="5">
        <f>B8</f>
        <v>373</v>
      </c>
    </row>
    <row r="22" spans="2:2">
      <c r="B22" s="5">
        <f>B9</f>
        <v>23</v>
      </c>
    </row>
  </sheetData>
  <phoneticPr fontId="19" type="noConversion"/>
  <pageMargins left="0.70866141732283472" right="0" top="0.74803149606299213" bottom="0.74803149606299213" header="0.31496062992125984" footer="0.31496062992125984"/>
  <pageSetup scale="7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950A83-21B8-44E8-A9D9-F3812DA8C6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Dashboard_EN</vt:lpstr>
      <vt:lpstr>dataset_clean</vt:lpstr>
      <vt:lpstr>ventas_dataset_nuevo</vt:lpstr>
      <vt:lpstr>KPIs</vt:lpstr>
      <vt:lpstr>TD_Ventas</vt:lpstr>
      <vt:lpstr>Dashboard_ES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batiz</dc:creator>
  <cp:lastModifiedBy>batizia2@gmail.com</cp:lastModifiedBy>
  <cp:lastPrinted>2025-12-10T20:31:44Z</cp:lastPrinted>
  <dcterms:created xsi:type="dcterms:W3CDTF">2025-12-03T19:09:09Z</dcterms:created>
  <dcterms:modified xsi:type="dcterms:W3CDTF">2026-01-30T17:39:44Z</dcterms:modified>
</cp:coreProperties>
</file>